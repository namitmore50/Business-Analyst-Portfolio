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E-Commerce-Customer-Intelligence-Platform/sql-analysis/"/>
    </mc:Choice>
  </mc:AlternateContent>
  <xr:revisionPtr revIDLastSave="222" documentId="11_F25DC773A252ABDACC1048ECC19B79EE5BDE58E9" xr6:coauthVersionLast="47" xr6:coauthVersionMax="47" xr10:uidLastSave="{D70C89A6-A757-492C-A389-DE1347575CB5}"/>
  <bookViews>
    <workbookView xWindow="-108" yWindow="-108" windowWidth="23256" windowHeight="12456" firstSheet="5" activeTab="5" xr2:uid="{00000000-000D-0000-FFFF-FFFF00000000}"/>
  </bookViews>
  <sheets>
    <sheet name="Q1_Business_KPI" sheetId="1" r:id="rId1"/>
    <sheet name="Q2_Monthly_Revenue" sheetId="2" r:id="rId2"/>
    <sheet name="Q3_Product_Category_Revenue" sheetId="3" r:id="rId3"/>
    <sheet name="Q4_State_Revenue" sheetId="4" r:id="rId4"/>
    <sheet name="Q5_Top_Customers" sheetId="5" r:id="rId5"/>
    <sheet name="Q6_Top_Sellers" sheetId="6" r:id="rId6"/>
    <sheet name="Q7_Late_Delivery" sheetId="7" r:id="rId7"/>
    <sheet name="Q8_Customer_Satisfaction" sheetId="8" r:id="rId8"/>
    <sheet name="Q9_Payment_Methods" sheetId="9" r:id="rId9"/>
    <sheet name="Q10_Order_Status" sheetId="10" r:id="rId10"/>
    <sheet name="Q11_Delivery_Time" sheetId="11" r:id="rId11"/>
    <sheet name="Q12_Revenue_ReviewScore" sheetId="12" r:id="rId12"/>
    <sheet name="Q13_Monthly_Order_Trend" sheetId="13" r:id="rId13"/>
    <sheet name="Q14_Top_Product_Categories" sheetId="14" r:id="rId14"/>
    <sheet name="Q15_Top_Sellers_Revenueseller_i" sheetId="15" r:id="rId15"/>
    <sheet name="Q16_Repeat_Customers" sheetId="16" r:id="rId16"/>
    <sheet name="Q17_Average_Order_Value" sheetId="17" r:id="rId17"/>
    <sheet name="Q18_State_Revenue_Contribution" sheetId="18" r:id="rId18"/>
    <sheet name="Q19_Category_Satisfaction" sheetId="19" r:id="rId19"/>
    <sheet name="Q20_Monthly_Revenue_Growth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5" i="6"/>
  <c r="E6" i="6"/>
  <c r="E7" i="6"/>
  <c r="E8" i="6"/>
  <c r="E9" i="6"/>
  <c r="E10" i="6"/>
  <c r="E11" i="6"/>
  <c r="E12" i="6"/>
  <c r="E13" i="6"/>
</calcChain>
</file>

<file path=xl/sharedStrings.xml><?xml version="1.0" encoding="utf-8"?>
<sst xmlns="http://schemas.openxmlformats.org/spreadsheetml/2006/main" count="239" uniqueCount="134">
  <si>
    <t>total_orders</t>
  </si>
  <si>
    <t>total_customers</t>
  </si>
  <si>
    <t>total_revenue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</si>
  <si>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</si>
  <si>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</si>
  <si>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</si>
  <si>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</si>
  <si>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</si>
  <si>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</si>
  <si>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</si>
  <si>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</si>
  <si>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</si>
  <si>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</si>
  <si>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</si>
  <si>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</si>
  <si>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</si>
  <si>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</si>
  <si>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</si>
  <si>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</si>
  <si>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</si>
  <si>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</si>
  <si>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</si>
  <si>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</si>
  <si>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</si>
  <si>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</si>
  <si>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</si>
  <si>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</si>
  <si>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</si>
  <si>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order_month</t>
  </si>
  <si>
    <t>bed_bath_table</t>
  </si>
  <si>
    <t>health_beauty</t>
  </si>
  <si>
    <t>computers_accessories</t>
  </si>
  <si>
    <t>furniture_decor</t>
  </si>
  <si>
    <t>watches_gifts</t>
  </si>
  <si>
    <t>sports_leisure</t>
  </si>
  <si>
    <t>housewares</t>
  </si>
  <si>
    <t>auto</t>
  </si>
  <si>
    <t>garden_tools</t>
  </si>
  <si>
    <t>cool_stuff</t>
  </si>
  <si>
    <t>product_category_name_english</t>
  </si>
  <si>
    <t>SP</t>
  </si>
  <si>
    <t>RJ</t>
  </si>
  <si>
    <t>MG</t>
  </si>
  <si>
    <t>RS</t>
  </si>
  <si>
    <t>PR</t>
  </si>
  <si>
    <t>BA</t>
  </si>
  <si>
    <t>SC</t>
  </si>
  <si>
    <t>GO</t>
  </si>
  <si>
    <t>DF</t>
  </si>
  <si>
    <t>ES</t>
  </si>
  <si>
    <t>customer_state</t>
  </si>
  <si>
    <t>1617b1357756262bfa56ab541c47bc16</t>
  </si>
  <si>
    <t>bd5d39761aa56689a265d95d8d32b8be</t>
  </si>
  <si>
    <t>be1b70680b9f9694d8c70f41fa3dc92b</t>
  </si>
  <si>
    <t>05455dfa7cd02f13d132aa7a6a9729c6</t>
  </si>
  <si>
    <t>1ff773612ab8934db89fd5afa8afe506</t>
  </si>
  <si>
    <t>ec5b2ba62e574342386871631fafd3fc</t>
  </si>
  <si>
    <t>e7d6802668de6e74d0d6c56565bf2a24</t>
  </si>
  <si>
    <t>8c20d9bfbc96c5d39025d77a3ba83d7f</t>
  </si>
  <si>
    <t>f7622098214b4634b7fe7eee269b5426</t>
  </si>
  <si>
    <t>71901689c5f3e5adc27b1dd16b33f0b8</t>
  </si>
  <si>
    <t>customer_id</t>
  </si>
  <si>
    <t>total_spent</t>
  </si>
  <si>
    <t>7c67e1448b00f6e969d365cea6b010ab</t>
  </si>
  <si>
    <t>1025f0e2d44d7041d6cf58b6550e0bfa</t>
  </si>
  <si>
    <t>4a3ca9315b744ce9f8e9374361493884</t>
  </si>
  <si>
    <t>1f50f920176fa81dab994f9023523100</t>
  </si>
  <si>
    <t>53243585a1d6dc2643021fd1853d8905</t>
  </si>
  <si>
    <t>da8622b14eb17ae2831f4ac5b9dab84a</t>
  </si>
  <si>
    <t>4869f7a5dfa277a7dca6462dcf3b52b2</t>
  </si>
  <si>
    <t>955fee9216a65b617aa5c0531780ce60</t>
  </si>
  <si>
    <t>fa1c13f2614d7b5c4749cbc52fecda94</t>
  </si>
  <si>
    <t>7e93a43ef30c4f03f38b393420bc753a</t>
  </si>
  <si>
    <t>seller_id</t>
  </si>
  <si>
    <t>is_late</t>
  </si>
  <si>
    <t>percentage</t>
  </si>
  <si>
    <t>review_score</t>
  </si>
  <si>
    <t>total_reviews</t>
  </si>
  <si>
    <t>credit_card</t>
  </si>
  <si>
    <t>boleto</t>
  </si>
  <si>
    <t>voucher</t>
  </si>
  <si>
    <t>debit_card</t>
  </si>
  <si>
    <t>not_defined</t>
  </si>
  <si>
    <t>payment_type</t>
  </si>
  <si>
    <t>total_transactions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</si>
  <si>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</si>
  <si>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</si>
  <si>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</si>
  <si>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</si>
  <si>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</si>
  <si>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</si>
  <si>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</si>
  <si>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</si>
  <si>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order_status</t>
  </si>
  <si>
    <t>avg_delivery_days</t>
  </si>
  <si>
    <t>min_delivery_days</t>
  </si>
  <si>
    <t>max_delivery_days</t>
  </si>
  <si>
    <t>avg_order_value</t>
  </si>
  <si>
    <t>telephony</t>
  </si>
  <si>
    <t>toys</t>
  </si>
  <si>
    <t>One-Time Customer</t>
  </si>
  <si>
    <t>customer_type</t>
  </si>
  <si>
    <t>min_order_value</t>
  </si>
  <si>
    <t>max_order_value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</si>
  <si>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</si>
  <si>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</si>
  <si>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</si>
  <si>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</si>
  <si>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</si>
  <si>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</si>
  <si>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</si>
  <si>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</si>
  <si>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</si>
  <si>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</si>
  <si>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</si>
  <si>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</si>
  <si>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</si>
  <si>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</si>
  <si>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</si>
  <si>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</si>
  <si>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</si>
  <si>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revenue_percentage</t>
  </si>
  <si>
    <t>books_general_interest</t>
  </si>
  <si>
    <t>costruction_tools_tools</t>
  </si>
  <si>
    <t>books_technical</t>
  </si>
  <si>
    <t>food_drink</t>
  </si>
  <si>
    <t>luggage_accessories</t>
  </si>
  <si>
    <t>food</t>
  </si>
  <si>
    <t>fashion_shoes</t>
  </si>
  <si>
    <t>home_appliances_2</t>
  </si>
  <si>
    <t>pet_shop</t>
  </si>
  <si>
    <t>stationery</t>
  </si>
  <si>
    <t>avg_review_score</t>
  </si>
  <si>
    <t>seller_tier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</si>
</sst>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E02BD-643C-412F-93F3-FA15C1C1244F}" name="Table1" displayName="Table1" ref="C4:E5" totalsRowShown="0" dataDxfId="83" tableBorderDxfId="82">
  <autoFilter ref="C4:E5" xr:uid="{6B9E02BD-643C-412F-93F3-FA15C1C1244F}"/>
  <tableColumns count="3">
    <tableColumn id="1" xr3:uid="{F888F0C6-C3ED-46EF-929E-FD6ADAD19972}" name="total_orders" dataDxfId="81"/>
    <tableColumn id="2" xr3:uid="{A7D7DEAB-1F60-4B54-BFEA-C11A51156CB9}" name="total_customers" dataDxfId="80"/>
    <tableColumn id="3" xr3:uid="{7F6B2705-97D7-4378-B8C9-B30CB4911558}" name="total_revenue" dataDxfId="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B4F6B-D1F3-42D9-A651-C23F93B3B7C5}" name="Table2" displayName="Table2" ref="C3:D28" totalsRowShown="0" dataDxfId="78" tableBorderDxfId="77">
  <autoFilter ref="C3:D28" xr:uid="{255B4F6B-D1F3-42D9-A651-C23F93B3B7C5}"/>
  <tableColumns count="2">
    <tableColumn id="1" xr3:uid="{27FD5DCD-6DB1-4C46-88DD-BE63665CE89A}" name="order_month" dataDxfId="76"/>
    <tableColumn id="2" xr3:uid="{3A44654F-13B3-458A-A759-5EF40F99413B}" name="total_revenue" dataDxfId="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A34EBE-883E-45EE-AEEE-849EDF01016C}" name="Table3" displayName="Table3" ref="C3:D13" totalsRowShown="0" dataDxfId="74" tableBorderDxfId="73">
  <autoFilter ref="C3:D13" xr:uid="{BBA34EBE-883E-45EE-AEEE-849EDF01016C}"/>
  <tableColumns count="2">
    <tableColumn id="1" xr3:uid="{4C6FDA8B-F0B6-46E0-B56E-A9707C244B16}" name="product_category_name_english" dataDxfId="72"/>
    <tableColumn id="2" xr3:uid="{484DB58D-022F-46F0-B3F5-B4DF2BC605A6}" name="total_revenue" data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5F7753-5167-4E2A-B6F9-CA3BCD73096D}" name="Table4" displayName="Table4" ref="C3:D13" totalsRowShown="0" dataDxfId="70" tableBorderDxfId="69">
  <autoFilter ref="C3:D13" xr:uid="{5C5F7753-5167-4E2A-B6F9-CA3BCD73096D}"/>
  <tableColumns count="2">
    <tableColumn id="1" xr3:uid="{B7DBFBA0-4F79-458C-A84F-7A10F3382270}" name="customer_state" dataDxfId="68"/>
    <tableColumn id="2" xr3:uid="{56231A33-2D5D-458B-B376-F031C8FD93F9}" name="total_revenue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A85891-97E5-43CB-97F7-1E47E8D59327}" name="Table5" displayName="Table5" ref="C3:D13" totalsRowShown="0" dataDxfId="66" tableBorderDxfId="65">
  <autoFilter ref="C3:D13" xr:uid="{35A85891-97E5-43CB-97F7-1E47E8D59327}"/>
  <tableColumns count="2">
    <tableColumn id="1" xr3:uid="{E163ECC9-7E19-4014-A8D5-56132286D3C4}" name="customer_id" dataDxfId="64"/>
    <tableColumn id="2" xr3:uid="{52FEE5F1-6EE2-447F-B024-7B48F618D8FA}" name="total_spent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2902B1-B45E-4B9E-95B2-D8F65F5081B1}" name="Table6" displayName="Table6" ref="C3:E13" totalsRowShown="0" dataDxfId="4" tableBorderDxfId="3">
  <autoFilter ref="C3:E13" xr:uid="{BE2902B1-B45E-4B9E-95B2-D8F65F5081B1}"/>
  <tableColumns count="3">
    <tableColumn id="1" xr3:uid="{6BC18810-7BE6-45DB-A2DF-BEA73DDDCCB8}" name="seller_id" dataDxfId="2"/>
    <tableColumn id="2" xr3:uid="{F8BE28C1-02B2-4970-A675-C2F2BD24610F}" name="total_revenue" dataDxfId="1"/>
    <tableColumn id="3" xr3:uid="{E6801267-FA2A-40EC-897E-051C01B7D2B9}" name="seller_tier" dataDxfId="0">
      <calculatedColumnFormula>IF(D4&gt;400000,"Gold",IF(D4&gt;=200000,"Silver","Bronze"))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690BC5-6A82-45F1-B1C3-3EC4BF029975}" name="Table8" displayName="Table8" ref="C2:E4" totalsRowShown="0" dataDxfId="62" tableBorderDxfId="61">
  <autoFilter ref="C2:E4" xr:uid="{BD690BC5-6A82-45F1-B1C3-3EC4BF029975}"/>
  <tableColumns count="3">
    <tableColumn id="1" xr3:uid="{B6B05FE3-E463-4ABD-B286-5E7D32002D75}" name="is_late" dataDxfId="60"/>
    <tableColumn id="2" xr3:uid="{807FC8E8-9F59-4F6D-B770-51152C79B682}" name="total_orders" dataDxfId="59"/>
    <tableColumn id="3" xr3:uid="{E3D37D51-3B83-4A6B-B3A1-F763DA64C225}" name="percentage" dataDxfId="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08D8AF-363E-456F-B0D2-F144B0075D97}" name="Table9" displayName="Table9" ref="C2:D7" totalsRowShown="0" dataDxfId="57" tableBorderDxfId="56">
  <autoFilter ref="C2:D7" xr:uid="{AD08D8AF-363E-456F-B0D2-F144B0075D97}"/>
  <tableColumns count="2">
    <tableColumn id="1" xr3:uid="{5900EE8C-9764-41B4-B052-F6A2F91DFA84}" name="review_score" dataDxfId="55"/>
    <tableColumn id="2" xr3:uid="{A9CE69F2-214B-40A0-9EF0-4B84B4DFA9C9}" name="total_reviews" dataDxfId="5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BAC4B38-0C01-478B-84DB-9C83848E6631}" name="Table10" displayName="Table10" ref="C2:E8" totalsRowShown="0" dataDxfId="53" tableBorderDxfId="52">
  <autoFilter ref="C2:E8" xr:uid="{9BAC4B38-0C01-478B-84DB-9C83848E6631}"/>
  <tableColumns count="3">
    <tableColumn id="1" xr3:uid="{A9541E8C-45C2-434A-9D5E-55BC95694E45}" name="payment_type" dataDxfId="51"/>
    <tableColumn id="2" xr3:uid="{F766142A-A4C8-4960-8361-F3135FDC5886}" name="total_transactions" dataDxfId="50"/>
    <tableColumn id="3" xr3:uid="{71211CFA-AC00-4771-8934-D1B0A6312442}" name="total_revenue" dataDxfId="4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9D02EA9-547A-4284-AC81-D6250C8FC320}" name="Table11" displayName="Table11" ref="C2:E10" totalsRowShown="0" tableBorderDxfId="48">
  <autoFilter ref="C2:E10" xr:uid="{B9D02EA9-547A-4284-AC81-D6250C8FC320}"/>
  <tableColumns count="3">
    <tableColumn id="1" xr3:uid="{E1720D9F-B6A6-4C0B-8B7C-B760347A888D}" name="order_status"/>
    <tableColumn id="2" xr3:uid="{E25375B1-6B07-4ECF-A6CB-16653090640B}" name="total_orders"/>
    <tableColumn id="3" xr3:uid="{8B577CDA-C0B9-4FC0-9024-A1ACE1EED01C}" name="percent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7380510-A1F8-48A4-ACA0-4D424C10E4F3}" name="Table12" displayName="Table12" ref="C2:E3" totalsRowShown="0" dataDxfId="47" tableBorderDxfId="46">
  <autoFilter ref="C2:E3" xr:uid="{07380510-A1F8-48A4-ACA0-4D424C10E4F3}"/>
  <tableColumns count="3">
    <tableColumn id="1" xr3:uid="{473E6375-B851-4930-9ED5-A46E36915BD2}" name="avg_delivery_days" dataDxfId="45"/>
    <tableColumn id="2" xr3:uid="{BC40514C-F156-4E7A-8777-448D91BE3DB9}" name="min_delivery_days" dataDxfId="44"/>
    <tableColumn id="3" xr3:uid="{7AA39B41-2F2A-42CF-B1E7-CA6BB2B3EF86}" name="max_delivery_days" dataDxfId="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02AFE4C-FC6F-400A-9484-2FC0B5A7EF70}" name="Table13" displayName="Table13" ref="C2:F7" totalsRowShown="0" dataDxfId="42" tableBorderDxfId="41">
  <autoFilter ref="C2:F7" xr:uid="{402AFE4C-FC6F-400A-9484-2FC0B5A7EF70}"/>
  <tableColumns count="4">
    <tableColumn id="1" xr3:uid="{2E7F75B2-0C89-4726-9DBD-FFA4BC5BF6CF}" name="review_score" dataDxfId="40"/>
    <tableColumn id="2" xr3:uid="{3AB5E826-34A7-43FF-9495-5C3E605A8DDC}" name="total_orders" dataDxfId="39"/>
    <tableColumn id="3" xr3:uid="{CC4F3A7E-7976-4B09-9800-3184AC00E817}" name="avg_order_value" dataDxfId="38"/>
    <tableColumn id="4" xr3:uid="{21194362-9A00-494F-AD15-50DF74BDEBD2}" name="total_revenue" dataDxfId="3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B7F401-46BE-48C9-9EA3-94D7F422F477}" name="Table14" displayName="Table14" ref="C2:D27" totalsRowShown="0" dataDxfId="36" tableBorderDxfId="35">
  <autoFilter ref="C2:D27" xr:uid="{D1B7F401-46BE-48C9-9EA3-94D7F422F477}"/>
  <tableColumns count="2">
    <tableColumn id="1" xr3:uid="{DBF6B76D-0BE6-4611-B114-82C79B5618CE}" name="order_month" dataDxfId="34"/>
    <tableColumn id="2" xr3:uid="{6BE48BA2-8E4E-46E0-AA96-78F131EF0972}" name="total_orders" dataDxfId="3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7A94B09-E90E-4B9C-AB0F-316D24051CBF}" name="Table15" displayName="Table15" ref="C2:D12" totalsRowShown="0" dataDxfId="32" tableBorderDxfId="31">
  <autoFilter ref="C2:D12" xr:uid="{17A94B09-E90E-4B9C-AB0F-316D24051CBF}"/>
  <tableColumns count="2">
    <tableColumn id="1" xr3:uid="{87BF4B1E-2C71-46EA-8F0E-0BF17F6A276E}" name="product_category_name_english" dataDxfId="30"/>
    <tableColumn id="2" xr3:uid="{4FFE8219-182D-4082-99A5-130F3214519B}" name="total_orders" dataDxfId="2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3FC5982-52F4-4AED-B705-5E810B6DD1E4}" name="Table16" displayName="Table16" ref="C2:E12" totalsRowShown="0" dataDxfId="28" tableBorderDxfId="27">
  <autoFilter ref="C2:E12" xr:uid="{F3FC5982-52F4-4AED-B705-5E810B6DD1E4}"/>
  <tableColumns count="3">
    <tableColumn id="1" xr3:uid="{5D0ACAE5-BF4A-4D69-B9E3-734D6EFF58B3}" name="seller_id" dataDxfId="26"/>
    <tableColumn id="2" xr3:uid="{236AED7B-74A0-4AF5-9BE4-0C04759EB7CB}" name="total_revenue" dataDxfId="25"/>
    <tableColumn id="3" xr3:uid="{B3CF7C24-ED14-486E-BB65-5528C1694ECA}" name="total_orders" dataDxfId="2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77D29D-FF8B-40C2-8420-6CCC5E5D9103}" name="Table17" displayName="Table17" ref="C2:E3" totalsRowShown="0" dataDxfId="23" tableBorderDxfId="22">
  <autoFilter ref="C2:E3" xr:uid="{F977D29D-FF8B-40C2-8420-6CCC5E5D9103}"/>
  <tableColumns count="3">
    <tableColumn id="1" xr3:uid="{330AA97E-9E47-407F-A178-44D06646F8B8}" name="customer_type" dataDxfId="21"/>
    <tableColumn id="2" xr3:uid="{61C940AF-F015-48C5-AA51-152DAE218329}" name="total_customers" dataDxfId="20"/>
    <tableColumn id="3" xr3:uid="{FA05E41E-7929-4FDA-8ADE-C8B7839322B3}" name="percentage" dataDxfId="1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D6197BD-4EA5-44B2-878F-056726F8675E}" name="Table18" displayName="Table18" ref="C2:E3" totalsRowShown="0" dataDxfId="18" tableBorderDxfId="17">
  <autoFilter ref="C2:E3" xr:uid="{BD6197BD-4EA5-44B2-878F-056726F8675E}"/>
  <tableColumns count="3">
    <tableColumn id="1" xr3:uid="{757B2191-2C1D-4FAD-BCCA-588C6EA0BCAF}" name="avg_order_value" dataDxfId="16"/>
    <tableColumn id="2" xr3:uid="{06ECA33E-907B-481C-B69F-8EAA03C6CFFD}" name="min_order_value" dataDxfId="15"/>
    <tableColumn id="3" xr3:uid="{0D00FDC7-B5B6-4FB1-B19C-C0DCB145A157}" name="max_order_value" dataDxfId="1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8A14E88-C020-4557-B55F-AE0FF0439E60}" name="Table19" displayName="Table19" ref="C2:E29" totalsRowShown="0" dataDxfId="13" tableBorderDxfId="12">
  <autoFilter ref="C2:E29" xr:uid="{88A14E88-C020-4557-B55F-AE0FF0439E60}"/>
  <tableColumns count="3">
    <tableColumn id="1" xr3:uid="{9487A33B-4159-4DC2-98C3-71B8607AADF7}" name="customer_state" dataDxfId="11"/>
    <tableColumn id="2" xr3:uid="{B63BDB68-5A2D-44E3-97A5-205F4808C72B}" name="total_revenue" dataDxfId="10"/>
    <tableColumn id="3" xr3:uid="{49F2A970-D84D-49F9-B047-FD53D0EF054C}" name="revenue_percentage" dataDxfId="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C456A1C-D9E3-4A32-A742-E64D0B2F535F}" name="Table20" displayName="Table20" ref="C2:E12" totalsRowShown="0" dataDxfId="88" tableBorderDxfId="87">
  <autoFilter ref="C2:E12" xr:uid="{4C456A1C-D9E3-4A32-A742-E64D0B2F535F}"/>
  <tableColumns count="3">
    <tableColumn id="1" xr3:uid="{9C29C15A-CFD1-4765-82E5-C1FB7F673503}" name="product_category_name_english" dataDxfId="86"/>
    <tableColumn id="2" xr3:uid="{E4963549-7C6B-4422-8DC0-6CF173EB3D6A}" name="avg_review_score" dataDxfId="85"/>
    <tableColumn id="3" xr3:uid="{86537338-693C-4E48-9F29-9A54CF43A4AA}" name="total_orders" dataDxfId="8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9A2D423-7CB2-4578-83FD-BA7D737E961E}" name="Table21" displayName="Table21" ref="C2:D27" totalsRowShown="0" dataDxfId="8" tableBorderDxfId="7">
  <autoFilter ref="C2:D27" xr:uid="{B9A2D423-7CB2-4578-83FD-BA7D737E961E}"/>
  <tableColumns count="2">
    <tableColumn id="1" xr3:uid="{7BB82454-BBF3-48F3-95F4-8844B8D0DACC}" name="order_month" dataDxfId="6"/>
    <tableColumn id="2" xr3:uid="{4E118A12-F362-418A-BA3A-D7D4FDFE9B77}" name="total_revenu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5"/>
  <sheetViews>
    <sheetView workbookViewId="0">
      <selection activeCell="E13" sqref="E13"/>
    </sheetView>
  </sheetViews>
  <sheetFormatPr defaultRowHeight="14.4" x14ac:dyDescent="0.3"/>
  <cols>
    <col min="3" max="3" width="13.109375" customWidth="1"/>
    <col min="4" max="4" width="16.44140625" customWidth="1"/>
    <col min="5" max="5" width="14.6640625" customWidth="1"/>
  </cols>
  <sheetData>
    <row r="4" spans="3:5" ht="28.8" x14ac:dyDescent="0.3">
      <c r="C4" s="2" t="s">
        <v>0</v>
      </c>
      <c r="D4" t="s">
        <v>1</v>
      </c>
      <c r="E4" t="s">
        <v>2</v>
      </c>
    </row>
    <row r="5" spans="3:5" x14ac:dyDescent="0.3">
      <c r="C5" s="3">
        <v>99441</v>
      </c>
      <c r="D5" s="3">
        <v>99441</v>
      </c>
      <c r="E5" s="3">
        <v>20579664.010000002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A5CD-8CB4-412B-AD99-1FDC628A761C}">
  <dimension ref="C3:D28"/>
  <sheetViews>
    <sheetView zoomScale="85" zoomScaleNormal="85" workbookViewId="0">
      <selection activeCell="J11" sqref="J11"/>
    </sheetView>
  </sheetViews>
  <sheetFormatPr defaultRowHeight="14.4" x14ac:dyDescent="0.3"/>
  <cols>
    <col min="3" max="3" width="14.109375" customWidth="1"/>
    <col min="4" max="4" width="14.6640625" customWidth="1"/>
  </cols>
  <sheetData>
    <row r="3" spans="3:4" x14ac:dyDescent="0.3">
      <c r="C3" t="s">
        <v>28</v>
      </c>
      <c r="D3" t="s">
        <v>2</v>
      </c>
    </row>
    <row r="4" spans="3:4" x14ac:dyDescent="0.3">
      <c r="C4" s="1" t="s">
        <v>3</v>
      </c>
      <c r="D4" s="1">
        <v>388.47</v>
      </c>
    </row>
    <row r="5" spans="3:4" x14ac:dyDescent="0.3">
      <c r="C5" s="1" t="s">
        <v>4</v>
      </c>
      <c r="D5" s="1">
        <v>76559.05</v>
      </c>
    </row>
    <row r="6" spans="3:4" x14ac:dyDescent="0.3">
      <c r="C6" s="1" t="s">
        <v>5</v>
      </c>
      <c r="D6" s="1">
        <v>19.62</v>
      </c>
    </row>
    <row r="7" spans="3:4" x14ac:dyDescent="0.3">
      <c r="C7" s="1" t="s">
        <v>6</v>
      </c>
      <c r="D7" s="1">
        <v>190806.27</v>
      </c>
    </row>
    <row r="8" spans="3:4" x14ac:dyDescent="0.3">
      <c r="C8" s="1" t="s">
        <v>7</v>
      </c>
      <c r="D8" s="1">
        <v>351848.13</v>
      </c>
    </row>
    <row r="9" spans="3:4" x14ac:dyDescent="0.3">
      <c r="C9" s="1" t="s">
        <v>8</v>
      </c>
      <c r="D9" s="1">
        <v>547769.84</v>
      </c>
    </row>
    <row r="10" spans="3:4" x14ac:dyDescent="0.3">
      <c r="C10" s="1" t="s">
        <v>9</v>
      </c>
      <c r="D10" s="1">
        <v>512126.52</v>
      </c>
    </row>
    <row r="11" spans="3:4" x14ac:dyDescent="0.3">
      <c r="C11" s="1" t="s">
        <v>10</v>
      </c>
      <c r="D11" s="1">
        <v>737425.31</v>
      </c>
    </row>
    <row r="12" spans="3:4" x14ac:dyDescent="0.3">
      <c r="C12" s="1" t="s">
        <v>11</v>
      </c>
      <c r="D12" s="1">
        <v>613777.41</v>
      </c>
    </row>
    <row r="13" spans="3:4" x14ac:dyDescent="0.3">
      <c r="C13" s="1" t="s">
        <v>12</v>
      </c>
      <c r="D13" s="1">
        <v>749242.84</v>
      </c>
    </row>
    <row r="14" spans="3:4" x14ac:dyDescent="0.3">
      <c r="C14" s="1" t="s">
        <v>13</v>
      </c>
      <c r="D14" s="1">
        <v>884168.36</v>
      </c>
    </row>
    <row r="15" spans="3:4" x14ac:dyDescent="0.3">
      <c r="C15" s="1" t="s">
        <v>14</v>
      </c>
      <c r="D15" s="1">
        <v>1030141.97</v>
      </c>
    </row>
    <row r="16" spans="3:4" x14ac:dyDescent="0.3">
      <c r="C16" s="1" t="s">
        <v>15</v>
      </c>
      <c r="D16" s="1">
        <v>1046083.41</v>
      </c>
    </row>
    <row r="17" spans="3:4" x14ac:dyDescent="0.3">
      <c r="C17" s="1" t="s">
        <v>16</v>
      </c>
      <c r="D17" s="1">
        <v>1610581.21</v>
      </c>
    </row>
    <row r="18" spans="3:4" x14ac:dyDescent="0.3">
      <c r="C18" s="1" t="s">
        <v>17</v>
      </c>
      <c r="D18" s="1">
        <v>1060949.6299999999</v>
      </c>
    </row>
    <row r="19" spans="3:4" x14ac:dyDescent="0.3">
      <c r="C19" s="1" t="s">
        <v>18</v>
      </c>
      <c r="D19" s="1">
        <v>1425461.4</v>
      </c>
    </row>
    <row r="20" spans="3:4" x14ac:dyDescent="0.3">
      <c r="C20" s="1" t="s">
        <v>19</v>
      </c>
      <c r="D20" s="1">
        <v>1327338.97</v>
      </c>
    </row>
    <row r="21" spans="3:4" x14ac:dyDescent="0.3">
      <c r="C21" s="1" t="s">
        <v>20</v>
      </c>
      <c r="D21" s="1">
        <v>1486669.64</v>
      </c>
    </row>
    <row r="22" spans="3:4" x14ac:dyDescent="0.3">
      <c r="C22" s="1" t="s">
        <v>21</v>
      </c>
      <c r="D22" s="1">
        <v>1500373.12</v>
      </c>
    </row>
    <row r="23" spans="3:4" x14ac:dyDescent="0.3">
      <c r="C23" s="1" t="s">
        <v>22</v>
      </c>
      <c r="D23" s="1">
        <v>1512010.75</v>
      </c>
    </row>
    <row r="24" spans="3:4" x14ac:dyDescent="0.3">
      <c r="C24" s="1" t="s">
        <v>23</v>
      </c>
      <c r="D24" s="1">
        <v>1299683.17</v>
      </c>
    </row>
    <row r="25" spans="3:4" x14ac:dyDescent="0.3">
      <c r="C25" s="1" t="s">
        <v>24</v>
      </c>
      <c r="D25" s="1">
        <v>1362267.08</v>
      </c>
    </row>
    <row r="26" spans="3:4" x14ac:dyDescent="0.3">
      <c r="C26" s="1" t="s">
        <v>25</v>
      </c>
      <c r="D26" s="1">
        <v>1248942.6299999999</v>
      </c>
    </row>
    <row r="27" spans="3:4" x14ac:dyDescent="0.3">
      <c r="C27" s="1" t="s">
        <v>26</v>
      </c>
      <c r="D27" s="1">
        <v>4439.54</v>
      </c>
    </row>
    <row r="28" spans="3:4" x14ac:dyDescent="0.3">
      <c r="C28" s="3" t="s">
        <v>27</v>
      </c>
      <c r="D28" s="3">
        <v>589.66999999999996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872F-3B71-4A88-89AA-DD5397D24799}">
  <dimension ref="C3:D13"/>
  <sheetViews>
    <sheetView workbookViewId="0">
      <selection activeCell="K5" sqref="K5"/>
    </sheetView>
  </sheetViews>
  <sheetFormatPr defaultRowHeight="14.4" x14ac:dyDescent="0.3"/>
  <cols>
    <col min="3" max="3" width="30.5546875" customWidth="1"/>
    <col min="4" max="4" width="14.6640625" customWidth="1"/>
  </cols>
  <sheetData>
    <row r="3" spans="3:4" x14ac:dyDescent="0.3">
      <c r="C3" t="s">
        <v>39</v>
      </c>
      <c r="D3" t="s">
        <v>2</v>
      </c>
    </row>
    <row r="4" spans="3:4" ht="27.6" x14ac:dyDescent="0.3">
      <c r="C4" s="1" t="s">
        <v>29</v>
      </c>
      <c r="D4" s="1">
        <v>1743998.8</v>
      </c>
    </row>
    <row r="5" spans="3:4" ht="27.6" x14ac:dyDescent="0.3">
      <c r="C5" s="1" t="s">
        <v>30</v>
      </c>
      <c r="D5" s="1">
        <v>1662963.59</v>
      </c>
    </row>
    <row r="6" spans="3:4" ht="41.4" x14ac:dyDescent="0.3">
      <c r="C6" s="1" t="s">
        <v>31</v>
      </c>
      <c r="D6" s="1">
        <v>1599481.06</v>
      </c>
    </row>
    <row r="7" spans="3:4" ht="41.4" x14ac:dyDescent="0.3">
      <c r="C7" s="1" t="s">
        <v>32</v>
      </c>
      <c r="D7" s="1">
        <v>1443963.61</v>
      </c>
    </row>
    <row r="8" spans="3:4" ht="27.6" x14ac:dyDescent="0.3">
      <c r="C8" s="1" t="s">
        <v>33</v>
      </c>
      <c r="D8" s="1">
        <v>1430553.48</v>
      </c>
    </row>
    <row r="9" spans="3:4" ht="27.6" x14ac:dyDescent="0.3">
      <c r="C9" s="1" t="s">
        <v>34</v>
      </c>
      <c r="D9" s="1">
        <v>1400223.07</v>
      </c>
    </row>
    <row r="10" spans="3:4" ht="27.6" x14ac:dyDescent="0.3">
      <c r="C10" s="1" t="s">
        <v>35</v>
      </c>
      <c r="D10" s="1">
        <v>1097900.0900000001</v>
      </c>
    </row>
    <row r="11" spans="3:4" x14ac:dyDescent="0.3">
      <c r="C11" s="1" t="s">
        <v>36</v>
      </c>
      <c r="D11" s="1">
        <v>855095.68</v>
      </c>
    </row>
    <row r="12" spans="3:4" ht="27.6" x14ac:dyDescent="0.3">
      <c r="C12" s="1" t="s">
        <v>37</v>
      </c>
      <c r="D12" s="1">
        <v>840721.59</v>
      </c>
    </row>
    <row r="13" spans="3:4" ht="27.6" x14ac:dyDescent="0.3">
      <c r="C13" s="3" t="s">
        <v>38</v>
      </c>
      <c r="D13" s="3">
        <v>781933.97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670E-CBF7-4643-9CE9-2678477D9EB5}">
  <dimension ref="C3:D13"/>
  <sheetViews>
    <sheetView workbookViewId="0">
      <selection activeCell="H16" sqref="H16"/>
    </sheetView>
  </sheetViews>
  <sheetFormatPr defaultRowHeight="14.4" x14ac:dyDescent="0.3"/>
  <cols>
    <col min="3" max="3" width="15.88671875" customWidth="1"/>
    <col min="4" max="4" width="14.6640625" customWidth="1"/>
  </cols>
  <sheetData>
    <row r="3" spans="3:4" ht="28.8" x14ac:dyDescent="0.3">
      <c r="C3" s="2" t="s">
        <v>50</v>
      </c>
      <c r="D3" t="s">
        <v>2</v>
      </c>
    </row>
    <row r="4" spans="3:4" x14ac:dyDescent="0.3">
      <c r="C4" s="1" t="s">
        <v>40</v>
      </c>
      <c r="D4" s="1">
        <v>7726078.3499999996</v>
      </c>
    </row>
    <row r="5" spans="3:4" x14ac:dyDescent="0.3">
      <c r="C5" s="1" t="s">
        <v>41</v>
      </c>
      <c r="D5" s="1">
        <v>2795615.67</v>
      </c>
    </row>
    <row r="6" spans="3:4" x14ac:dyDescent="0.3">
      <c r="C6" s="1" t="s">
        <v>42</v>
      </c>
      <c r="D6" s="1">
        <v>2351221.09</v>
      </c>
    </row>
    <row r="7" spans="3:4" x14ac:dyDescent="0.3">
      <c r="C7" s="1" t="s">
        <v>43</v>
      </c>
      <c r="D7" s="1">
        <v>1160175.6599999999</v>
      </c>
    </row>
    <row r="8" spans="3:4" x14ac:dyDescent="0.3">
      <c r="C8" s="1" t="s">
        <v>44</v>
      </c>
      <c r="D8" s="1">
        <v>1079795.49</v>
      </c>
    </row>
    <row r="9" spans="3:4" x14ac:dyDescent="0.3">
      <c r="C9" s="1" t="s">
        <v>45</v>
      </c>
      <c r="D9" s="1">
        <v>805070.98</v>
      </c>
    </row>
    <row r="10" spans="3:4" x14ac:dyDescent="0.3">
      <c r="C10" s="1" t="s">
        <v>46</v>
      </c>
      <c r="D10" s="1">
        <v>801276.45</v>
      </c>
    </row>
    <row r="11" spans="3:4" x14ac:dyDescent="0.3">
      <c r="C11" s="1" t="s">
        <v>47</v>
      </c>
      <c r="D11" s="1">
        <v>520481.65</v>
      </c>
    </row>
    <row r="12" spans="3:4" x14ac:dyDescent="0.3">
      <c r="C12" s="1" t="s">
        <v>48</v>
      </c>
      <c r="D12" s="1">
        <v>438095.32</v>
      </c>
    </row>
    <row r="13" spans="3:4" x14ac:dyDescent="0.3">
      <c r="C13" s="3" t="s">
        <v>49</v>
      </c>
      <c r="D13" s="3">
        <v>408611.64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195D-9117-4C59-AC3D-935AE185929D}">
  <dimension ref="C3:D13"/>
  <sheetViews>
    <sheetView zoomScale="90" zoomScaleNormal="90" workbookViewId="0">
      <selection activeCell="N8" sqref="N8"/>
    </sheetView>
  </sheetViews>
  <sheetFormatPr defaultRowHeight="14.4" x14ac:dyDescent="0.3"/>
  <cols>
    <col min="3" max="3" width="13.33203125" customWidth="1"/>
    <col min="4" max="4" width="12.44140625" customWidth="1"/>
  </cols>
  <sheetData>
    <row r="3" spans="3:4" ht="28.8" x14ac:dyDescent="0.3">
      <c r="C3" s="2" t="s">
        <v>61</v>
      </c>
      <c r="D3" t="s">
        <v>62</v>
      </c>
    </row>
    <row r="4" spans="3:4" ht="69" x14ac:dyDescent="0.3">
      <c r="C4" s="1" t="s">
        <v>51</v>
      </c>
      <c r="D4" s="1">
        <v>109312.64</v>
      </c>
    </row>
    <row r="5" spans="3:4" ht="69" x14ac:dyDescent="0.3">
      <c r="C5" s="1" t="s">
        <v>52</v>
      </c>
      <c r="D5" s="1">
        <v>45256</v>
      </c>
    </row>
    <row r="6" spans="3:4" ht="69" x14ac:dyDescent="0.3">
      <c r="C6" s="1" t="s">
        <v>53</v>
      </c>
      <c r="D6" s="1">
        <v>44048</v>
      </c>
    </row>
    <row r="7" spans="3:4" ht="69" x14ac:dyDescent="0.3">
      <c r="C7" s="1" t="s">
        <v>54</v>
      </c>
      <c r="D7" s="1">
        <v>36489.24</v>
      </c>
    </row>
    <row r="8" spans="3:4" ht="69" x14ac:dyDescent="0.3">
      <c r="C8" s="1" t="s">
        <v>55</v>
      </c>
      <c r="D8" s="1">
        <v>30186</v>
      </c>
    </row>
    <row r="9" spans="3:4" ht="69" x14ac:dyDescent="0.3">
      <c r="C9" s="1" t="s">
        <v>56</v>
      </c>
      <c r="D9" s="1">
        <v>29099.52</v>
      </c>
    </row>
    <row r="10" spans="3:4" ht="41.4" x14ac:dyDescent="0.3">
      <c r="C10" s="1" t="s">
        <v>57</v>
      </c>
      <c r="D10" s="1">
        <v>22346.6</v>
      </c>
    </row>
    <row r="11" spans="3:4" ht="41.4" x14ac:dyDescent="0.3">
      <c r="C11" s="1" t="s">
        <v>58</v>
      </c>
      <c r="D11" s="1">
        <v>21874.05</v>
      </c>
    </row>
    <row r="12" spans="3:4" ht="41.4" x14ac:dyDescent="0.3">
      <c r="C12" s="1" t="s">
        <v>59</v>
      </c>
      <c r="D12" s="1">
        <v>19457.04</v>
      </c>
    </row>
    <row r="13" spans="3:4" ht="41.4" x14ac:dyDescent="0.3">
      <c r="C13" s="3" t="s">
        <v>60</v>
      </c>
      <c r="D13" s="3">
        <v>19174.38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9BE7-70F1-4D94-86A7-6FCDA46394A6}">
  <dimension ref="C3:J13"/>
  <sheetViews>
    <sheetView tabSelected="1" workbookViewId="0">
      <selection activeCell="J7" sqref="J7"/>
    </sheetView>
  </sheetViews>
  <sheetFormatPr defaultRowHeight="14.4" x14ac:dyDescent="0.3"/>
  <cols>
    <col min="3" max="3" width="9.77734375" customWidth="1"/>
    <col min="4" max="4" width="14.6640625" customWidth="1"/>
    <col min="10" max="10" width="13.88671875" customWidth="1"/>
  </cols>
  <sheetData>
    <row r="3" spans="3:10" x14ac:dyDescent="0.3">
      <c r="C3" s="2" t="s">
        <v>73</v>
      </c>
      <c r="D3" t="s">
        <v>2</v>
      </c>
      <c r="E3" t="s">
        <v>133</v>
      </c>
      <c r="I3" s="2"/>
      <c r="J3" s="2"/>
    </row>
    <row r="4" spans="3:10" ht="69" x14ac:dyDescent="0.3">
      <c r="C4" s="1" t="s">
        <v>63</v>
      </c>
      <c r="D4" s="1">
        <v>512645.19</v>
      </c>
      <c r="E4" s="5" t="str">
        <f t="shared" ref="E4:E13" si="0">IF(D4&gt;400000,"Gold",IF(D4&gt;=200000,"Silver","Bronze"))</f>
        <v>Gold</v>
      </c>
      <c r="I4" s="6"/>
      <c r="J4" s="6"/>
    </row>
    <row r="5" spans="3:10" ht="69" x14ac:dyDescent="0.3">
      <c r="C5" s="1" t="s">
        <v>64</v>
      </c>
      <c r="D5" s="1">
        <v>312456.49</v>
      </c>
      <c r="E5" s="5" t="str">
        <f t="shared" si="0"/>
        <v>Silver</v>
      </c>
      <c r="I5" s="6"/>
      <c r="J5" s="6"/>
    </row>
    <row r="6" spans="3:10" ht="69" x14ac:dyDescent="0.3">
      <c r="C6" s="1" t="s">
        <v>65</v>
      </c>
      <c r="D6" s="1">
        <v>306138.8</v>
      </c>
      <c r="E6" s="5" t="str">
        <f t="shared" si="0"/>
        <v>Silver</v>
      </c>
      <c r="I6" s="6"/>
      <c r="J6" s="6"/>
    </row>
    <row r="7" spans="3:10" ht="69" x14ac:dyDescent="0.3">
      <c r="C7" s="1" t="s">
        <v>66</v>
      </c>
      <c r="D7" s="1">
        <v>291918.98</v>
      </c>
      <c r="E7" s="5" t="str">
        <f t="shared" si="0"/>
        <v>Silver</v>
      </c>
    </row>
    <row r="8" spans="3:10" ht="69" x14ac:dyDescent="0.3">
      <c r="C8" s="1" t="s">
        <v>67</v>
      </c>
      <c r="D8" s="1">
        <v>284903.08</v>
      </c>
      <c r="E8" s="5" t="str">
        <f t="shared" si="0"/>
        <v>Silver</v>
      </c>
    </row>
    <row r="9" spans="3:10" ht="69" x14ac:dyDescent="0.3">
      <c r="C9" s="1" t="s">
        <v>68</v>
      </c>
      <c r="D9" s="1">
        <v>276578.63</v>
      </c>
      <c r="E9" s="5" t="str">
        <f t="shared" si="0"/>
        <v>Silver</v>
      </c>
    </row>
    <row r="10" spans="3:10" ht="69" x14ac:dyDescent="0.3">
      <c r="C10" s="1" t="s">
        <v>69</v>
      </c>
      <c r="D10" s="1">
        <v>264166.12</v>
      </c>
      <c r="E10" s="5" t="str">
        <f t="shared" si="0"/>
        <v>Silver</v>
      </c>
    </row>
    <row r="11" spans="3:10" ht="69" x14ac:dyDescent="0.3">
      <c r="C11" s="1" t="s">
        <v>70</v>
      </c>
      <c r="D11" s="1">
        <v>236414.48</v>
      </c>
      <c r="E11" s="5" t="str">
        <f t="shared" si="0"/>
        <v>Silver</v>
      </c>
    </row>
    <row r="12" spans="3:10" ht="69" x14ac:dyDescent="0.3">
      <c r="C12" s="1" t="s">
        <v>71</v>
      </c>
      <c r="D12" s="1">
        <v>206513.23</v>
      </c>
      <c r="E12" s="5" t="str">
        <f t="shared" si="0"/>
        <v>Silver</v>
      </c>
    </row>
    <row r="13" spans="3:10" ht="69" x14ac:dyDescent="0.3">
      <c r="C13" s="3" t="s">
        <v>72</v>
      </c>
      <c r="D13" s="3">
        <v>185134.21</v>
      </c>
      <c r="E13" s="5" t="str">
        <f t="shared" si="0"/>
        <v>Bronze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CEE1-8FA4-42D4-AE18-9C8A6D5E2C8E}">
  <dimension ref="C2:E4"/>
  <sheetViews>
    <sheetView workbookViewId="0">
      <selection activeCell="F15" sqref="F15"/>
    </sheetView>
  </sheetViews>
  <sheetFormatPr defaultRowHeight="14.4" x14ac:dyDescent="0.3"/>
  <cols>
    <col min="4" max="4" width="13.109375" customWidth="1"/>
    <col min="5" max="5" width="12.33203125" customWidth="1"/>
  </cols>
  <sheetData>
    <row r="2" spans="3:5" ht="28.8" x14ac:dyDescent="0.3">
      <c r="C2" t="s">
        <v>74</v>
      </c>
      <c r="D2" s="2" t="s">
        <v>0</v>
      </c>
      <c r="E2" t="s">
        <v>75</v>
      </c>
    </row>
    <row r="3" spans="3:5" x14ac:dyDescent="0.3">
      <c r="C3" s="1">
        <v>0</v>
      </c>
      <c r="D3" s="1">
        <v>110075</v>
      </c>
      <c r="E3" s="1">
        <v>92.39</v>
      </c>
    </row>
    <row r="4" spans="3:5" x14ac:dyDescent="0.3">
      <c r="C4" s="3">
        <v>1</v>
      </c>
      <c r="D4" s="3">
        <v>9068</v>
      </c>
      <c r="E4" s="3">
        <v>7.61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2E36-A4CD-408F-B8D9-915FCF9EA332}">
  <dimension ref="C2:D7"/>
  <sheetViews>
    <sheetView workbookViewId="0">
      <selection activeCell="I15" sqref="I15"/>
    </sheetView>
  </sheetViews>
  <sheetFormatPr defaultRowHeight="14.4" x14ac:dyDescent="0.3"/>
  <cols>
    <col min="3" max="3" width="13.88671875" customWidth="1"/>
    <col min="4" max="4" width="14.109375" customWidth="1"/>
  </cols>
  <sheetData>
    <row r="2" spans="3:4" ht="28.8" x14ac:dyDescent="0.3">
      <c r="C2" s="2" t="s">
        <v>76</v>
      </c>
      <c r="D2" t="s">
        <v>77</v>
      </c>
    </row>
    <row r="3" spans="3:4" x14ac:dyDescent="0.3">
      <c r="C3" s="1">
        <v>5</v>
      </c>
      <c r="D3" s="1">
        <v>66343</v>
      </c>
    </row>
    <row r="4" spans="3:4" x14ac:dyDescent="0.3">
      <c r="C4" s="1">
        <v>4</v>
      </c>
      <c r="D4" s="1">
        <v>22319</v>
      </c>
    </row>
    <row r="5" spans="3:4" x14ac:dyDescent="0.3">
      <c r="C5" s="1">
        <v>3</v>
      </c>
      <c r="D5" s="1">
        <v>9894</v>
      </c>
    </row>
    <row r="6" spans="3:4" x14ac:dyDescent="0.3">
      <c r="C6" s="1">
        <v>2</v>
      </c>
      <c r="D6" s="1">
        <v>4162</v>
      </c>
    </row>
    <row r="7" spans="3:4" x14ac:dyDescent="0.3">
      <c r="C7" s="3">
        <v>1</v>
      </c>
      <c r="D7" s="3">
        <v>15428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B78B-FE7D-439E-8F60-8D80FDA0A646}">
  <dimension ref="C2:E8"/>
  <sheetViews>
    <sheetView workbookViewId="0">
      <selection activeCell="G12" sqref="G12"/>
    </sheetView>
  </sheetViews>
  <sheetFormatPr defaultRowHeight="14.4" x14ac:dyDescent="0.3"/>
  <cols>
    <col min="3" max="3" width="15.21875" customWidth="1"/>
    <col min="4" max="4" width="18" customWidth="1"/>
    <col min="5" max="5" width="14.6640625" customWidth="1"/>
  </cols>
  <sheetData>
    <row r="2" spans="3:5" ht="28.8" x14ac:dyDescent="0.3">
      <c r="C2" s="2" t="s">
        <v>83</v>
      </c>
      <c r="D2" t="s">
        <v>84</v>
      </c>
      <c r="E2" t="s">
        <v>2</v>
      </c>
    </row>
    <row r="3" spans="3:5" ht="27.6" x14ac:dyDescent="0.3">
      <c r="C3" s="1" t="s">
        <v>78</v>
      </c>
      <c r="D3" s="1">
        <v>87776</v>
      </c>
      <c r="E3" s="1">
        <v>15775450.539999999</v>
      </c>
    </row>
    <row r="4" spans="3:5" x14ac:dyDescent="0.3">
      <c r="C4" s="1" t="s">
        <v>79</v>
      </c>
      <c r="D4" s="1">
        <v>23190</v>
      </c>
      <c r="E4" s="1">
        <v>4110920.74</v>
      </c>
    </row>
    <row r="5" spans="3:5" x14ac:dyDescent="0.3">
      <c r="C5" s="1" t="s">
        <v>80</v>
      </c>
      <c r="D5" s="1">
        <v>6465</v>
      </c>
      <c r="E5" s="1">
        <v>435917.84</v>
      </c>
    </row>
    <row r="6" spans="3:5" ht="27.6" x14ac:dyDescent="0.3">
      <c r="C6" s="1" t="s">
        <v>81</v>
      </c>
      <c r="D6" s="1">
        <v>1706</v>
      </c>
      <c r="E6" s="1">
        <v>257374.89</v>
      </c>
    </row>
    <row r="7" spans="3:5" ht="27.6" x14ac:dyDescent="0.3">
      <c r="C7" s="1" t="s">
        <v>82</v>
      </c>
      <c r="D7" s="1">
        <v>3</v>
      </c>
      <c r="E7" s="1">
        <v>0</v>
      </c>
    </row>
    <row r="8" spans="3:5" x14ac:dyDescent="0.3">
      <c r="C8" s="4"/>
      <c r="D8" s="3"/>
      <c r="E8" s="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A11F-0BEF-4B47-8AA2-921DCBCC78C4}">
  <dimension ref="C2:E10"/>
  <sheetViews>
    <sheetView workbookViewId="0">
      <selection activeCell="G17" sqref="G17"/>
    </sheetView>
  </sheetViews>
  <sheetFormatPr defaultRowHeight="14.4" x14ac:dyDescent="0.3"/>
  <cols>
    <col min="3" max="3" width="13.44140625" customWidth="1"/>
    <col min="4" max="4" width="13.109375" customWidth="1"/>
    <col min="5" max="5" width="12.33203125" customWidth="1"/>
  </cols>
  <sheetData>
    <row r="2" spans="3:5" x14ac:dyDescent="0.3">
      <c r="C2" t="s">
        <v>93</v>
      </c>
      <c r="D2" t="s">
        <v>0</v>
      </c>
      <c r="E2" t="s">
        <v>75</v>
      </c>
    </row>
    <row r="3" spans="3:5" x14ac:dyDescent="0.3">
      <c r="C3" s="1" t="s">
        <v>85</v>
      </c>
      <c r="D3" s="1">
        <v>96478</v>
      </c>
      <c r="E3" s="1">
        <v>97.02</v>
      </c>
    </row>
    <row r="4" spans="3:5" x14ac:dyDescent="0.3">
      <c r="C4" s="1" t="s">
        <v>86</v>
      </c>
      <c r="D4" s="1">
        <v>1107</v>
      </c>
      <c r="E4" s="1">
        <v>1.1100000000000001</v>
      </c>
    </row>
    <row r="5" spans="3:5" x14ac:dyDescent="0.3">
      <c r="C5" s="1" t="s">
        <v>87</v>
      </c>
      <c r="D5" s="1">
        <v>625</v>
      </c>
      <c r="E5" s="1">
        <v>0.63</v>
      </c>
    </row>
    <row r="6" spans="3:5" x14ac:dyDescent="0.3">
      <c r="C6" s="1" t="s">
        <v>88</v>
      </c>
      <c r="D6" s="1">
        <v>609</v>
      </c>
      <c r="E6" s="1">
        <v>0.61</v>
      </c>
    </row>
    <row r="7" spans="3:5" x14ac:dyDescent="0.3">
      <c r="C7" s="1" t="s">
        <v>89</v>
      </c>
      <c r="D7" s="1">
        <v>314</v>
      </c>
      <c r="E7" s="1">
        <v>0.32</v>
      </c>
    </row>
    <row r="8" spans="3:5" x14ac:dyDescent="0.3">
      <c r="C8" s="1" t="s">
        <v>90</v>
      </c>
      <c r="D8" s="1">
        <v>301</v>
      </c>
      <c r="E8" s="1">
        <v>0.3</v>
      </c>
    </row>
    <row r="9" spans="3:5" x14ac:dyDescent="0.3">
      <c r="C9" s="1" t="s">
        <v>91</v>
      </c>
      <c r="D9" s="1">
        <v>5</v>
      </c>
      <c r="E9" s="1">
        <v>0.01</v>
      </c>
    </row>
    <row r="10" spans="3:5" x14ac:dyDescent="0.3">
      <c r="C10" s="1" t="s">
        <v>92</v>
      </c>
      <c r="D10" s="1">
        <v>2</v>
      </c>
      <c r="E10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F83E-4993-406D-9C01-1E7550DBD73E}">
  <dimension ref="C2:E3"/>
  <sheetViews>
    <sheetView workbookViewId="0">
      <selection activeCell="G16" sqref="G16"/>
    </sheetView>
  </sheetViews>
  <sheetFormatPr defaultRowHeight="14.4" x14ac:dyDescent="0.3"/>
  <cols>
    <col min="3" max="3" width="18.44140625" customWidth="1"/>
    <col min="4" max="4" width="18.6640625" customWidth="1"/>
    <col min="5" max="5" width="19" customWidth="1"/>
  </cols>
  <sheetData>
    <row r="2" spans="3:5" x14ac:dyDescent="0.3">
      <c r="C2" t="s">
        <v>94</v>
      </c>
      <c r="D2" t="s">
        <v>95</v>
      </c>
      <c r="E2" t="s">
        <v>96</v>
      </c>
    </row>
    <row r="3" spans="3:5" x14ac:dyDescent="0.3">
      <c r="C3" s="3">
        <v>12.02</v>
      </c>
      <c r="D3" s="3">
        <v>0</v>
      </c>
      <c r="E3" s="3">
        <v>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2FDA-3565-4A51-A8B4-7E110C98279C}">
  <dimension ref="C2:F7"/>
  <sheetViews>
    <sheetView workbookViewId="0">
      <selection activeCell="K13" sqref="K13"/>
    </sheetView>
  </sheetViews>
  <sheetFormatPr defaultRowHeight="14.4" x14ac:dyDescent="0.3"/>
  <cols>
    <col min="3" max="3" width="13.88671875" customWidth="1"/>
    <col min="4" max="4" width="13.109375" customWidth="1"/>
    <col min="5" max="5" width="17" customWidth="1"/>
    <col min="6" max="6" width="14.6640625" customWidth="1"/>
  </cols>
  <sheetData>
    <row r="2" spans="3:6" x14ac:dyDescent="0.3">
      <c r="C2" t="s">
        <v>76</v>
      </c>
      <c r="D2" t="s">
        <v>0</v>
      </c>
      <c r="E2" t="s">
        <v>97</v>
      </c>
      <c r="F2" t="s">
        <v>2</v>
      </c>
    </row>
    <row r="3" spans="3:6" x14ac:dyDescent="0.3">
      <c r="C3" s="1">
        <v>5</v>
      </c>
      <c r="D3" s="1">
        <v>57076</v>
      </c>
      <c r="E3" s="1">
        <v>160.78</v>
      </c>
      <c r="F3" s="1">
        <v>10666458.369999999</v>
      </c>
    </row>
    <row r="4" spans="3:6" x14ac:dyDescent="0.3">
      <c r="C4" s="1">
        <v>4</v>
      </c>
      <c r="D4" s="1">
        <v>19098</v>
      </c>
      <c r="E4" s="1">
        <v>163.47</v>
      </c>
      <c r="F4" s="1">
        <v>3648468.83</v>
      </c>
    </row>
    <row r="5" spans="3:6" x14ac:dyDescent="0.3">
      <c r="C5" s="1">
        <v>3</v>
      </c>
      <c r="D5" s="1">
        <v>8160</v>
      </c>
      <c r="E5" s="1">
        <v>167.84</v>
      </c>
      <c r="F5" s="1">
        <v>1660610.82</v>
      </c>
    </row>
    <row r="6" spans="3:6" x14ac:dyDescent="0.3">
      <c r="C6" s="1">
        <v>2</v>
      </c>
      <c r="D6" s="1">
        <v>3148</v>
      </c>
      <c r="E6" s="1">
        <v>191.32</v>
      </c>
      <c r="F6" s="1">
        <v>796261.23</v>
      </c>
    </row>
    <row r="7" spans="3:6" x14ac:dyDescent="0.3">
      <c r="C7" s="3">
        <v>1</v>
      </c>
      <c r="D7" s="3">
        <v>11393</v>
      </c>
      <c r="E7" s="3">
        <v>231.63</v>
      </c>
      <c r="F7" s="3">
        <v>3572902.46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FE09-0FA2-4DEB-8A39-4A89FB1F9B07}">
  <dimension ref="C2:D27"/>
  <sheetViews>
    <sheetView zoomScale="83" workbookViewId="0">
      <selection activeCell="M22" sqref="M22"/>
    </sheetView>
  </sheetViews>
  <sheetFormatPr defaultRowHeight="14.4" x14ac:dyDescent="0.3"/>
  <cols>
    <col min="3" max="3" width="14.109375" customWidth="1"/>
    <col min="4" max="4" width="13.109375" customWidth="1"/>
  </cols>
  <sheetData>
    <row r="2" spans="3:4" x14ac:dyDescent="0.3">
      <c r="C2" t="s">
        <v>28</v>
      </c>
      <c r="D2" t="s">
        <v>0</v>
      </c>
    </row>
    <row r="3" spans="3:4" x14ac:dyDescent="0.3">
      <c r="C3" s="1" t="s">
        <v>3</v>
      </c>
      <c r="D3" s="1">
        <v>4</v>
      </c>
    </row>
    <row r="4" spans="3:4" x14ac:dyDescent="0.3">
      <c r="C4" s="1" t="s">
        <v>4</v>
      </c>
      <c r="D4" s="1">
        <v>324</v>
      </c>
    </row>
    <row r="5" spans="3:4" x14ac:dyDescent="0.3">
      <c r="C5" s="1" t="s">
        <v>5</v>
      </c>
      <c r="D5" s="1">
        <v>1</v>
      </c>
    </row>
    <row r="6" spans="3:4" x14ac:dyDescent="0.3">
      <c r="C6" s="1" t="s">
        <v>6</v>
      </c>
      <c r="D6" s="1">
        <v>800</v>
      </c>
    </row>
    <row r="7" spans="3:4" x14ac:dyDescent="0.3">
      <c r="C7" s="1" t="s">
        <v>7</v>
      </c>
      <c r="D7" s="1">
        <v>1780</v>
      </c>
    </row>
    <row r="8" spans="3:4" x14ac:dyDescent="0.3">
      <c r="C8" s="1" t="s">
        <v>8</v>
      </c>
      <c r="D8" s="1">
        <v>2682</v>
      </c>
    </row>
    <row r="9" spans="3:4" x14ac:dyDescent="0.3">
      <c r="C9" s="1" t="s">
        <v>9</v>
      </c>
      <c r="D9" s="1">
        <v>2404</v>
      </c>
    </row>
    <row r="10" spans="3:4" x14ac:dyDescent="0.3">
      <c r="C10" s="1" t="s">
        <v>10</v>
      </c>
      <c r="D10" s="1">
        <v>3700</v>
      </c>
    </row>
    <row r="11" spans="3:4" x14ac:dyDescent="0.3">
      <c r="C11" s="1" t="s">
        <v>11</v>
      </c>
      <c r="D11" s="1">
        <v>3245</v>
      </c>
    </row>
    <row r="12" spans="3:4" x14ac:dyDescent="0.3">
      <c r="C12" s="1" t="s">
        <v>12</v>
      </c>
      <c r="D12" s="1">
        <v>4026</v>
      </c>
    </row>
    <row r="13" spans="3:4" x14ac:dyDescent="0.3">
      <c r="C13" s="1" t="s">
        <v>13</v>
      </c>
      <c r="D13" s="1">
        <v>4331</v>
      </c>
    </row>
    <row r="14" spans="3:4" x14ac:dyDescent="0.3">
      <c r="C14" s="1" t="s">
        <v>14</v>
      </c>
      <c r="D14" s="1">
        <v>4285</v>
      </c>
    </row>
    <row r="15" spans="3:4" x14ac:dyDescent="0.3">
      <c r="C15" s="1" t="s">
        <v>15</v>
      </c>
      <c r="D15" s="1">
        <v>4631</v>
      </c>
    </row>
    <row r="16" spans="3:4" x14ac:dyDescent="0.3">
      <c r="C16" s="1" t="s">
        <v>16</v>
      </c>
      <c r="D16" s="1">
        <v>7544</v>
      </c>
    </row>
    <row r="17" spans="3:4" x14ac:dyDescent="0.3">
      <c r="C17" s="1" t="s">
        <v>17</v>
      </c>
      <c r="D17" s="1">
        <v>5673</v>
      </c>
    </row>
    <row r="18" spans="3:4" x14ac:dyDescent="0.3">
      <c r="C18" s="1" t="s">
        <v>18</v>
      </c>
      <c r="D18" s="1">
        <v>7269</v>
      </c>
    </row>
    <row r="19" spans="3:4" x14ac:dyDescent="0.3">
      <c r="C19" s="1" t="s">
        <v>19</v>
      </c>
      <c r="D19" s="1">
        <v>6728</v>
      </c>
    </row>
    <row r="20" spans="3:4" x14ac:dyDescent="0.3">
      <c r="C20" s="1" t="s">
        <v>20</v>
      </c>
      <c r="D20" s="1">
        <v>7211</v>
      </c>
    </row>
    <row r="21" spans="3:4" x14ac:dyDescent="0.3">
      <c r="C21" s="1" t="s">
        <v>21</v>
      </c>
      <c r="D21" s="1">
        <v>6939</v>
      </c>
    </row>
    <row r="22" spans="3:4" x14ac:dyDescent="0.3">
      <c r="C22" s="1" t="s">
        <v>22</v>
      </c>
      <c r="D22" s="1">
        <v>6873</v>
      </c>
    </row>
    <row r="23" spans="3:4" x14ac:dyDescent="0.3">
      <c r="C23" s="1" t="s">
        <v>23</v>
      </c>
      <c r="D23" s="1">
        <v>6167</v>
      </c>
    </row>
    <row r="24" spans="3:4" x14ac:dyDescent="0.3">
      <c r="C24" s="1" t="s">
        <v>24</v>
      </c>
      <c r="D24" s="1">
        <v>6292</v>
      </c>
    </row>
    <row r="25" spans="3:4" x14ac:dyDescent="0.3">
      <c r="C25" s="1" t="s">
        <v>25</v>
      </c>
      <c r="D25" s="1">
        <v>6512</v>
      </c>
    </row>
    <row r="26" spans="3:4" x14ac:dyDescent="0.3">
      <c r="C26" s="1" t="s">
        <v>26</v>
      </c>
      <c r="D26" s="1">
        <v>16</v>
      </c>
    </row>
    <row r="27" spans="3:4" x14ac:dyDescent="0.3">
      <c r="C27" s="3" t="s">
        <v>27</v>
      </c>
      <c r="D27" s="3">
        <v>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7E5F-F131-4E16-B045-3DDFD2B43B0D}">
  <dimension ref="C2:D12"/>
  <sheetViews>
    <sheetView workbookViewId="0">
      <selection activeCell="H11" sqref="H11"/>
    </sheetView>
  </sheetViews>
  <sheetFormatPr defaultRowHeight="14.4" x14ac:dyDescent="0.3"/>
  <cols>
    <col min="3" max="3" width="30.5546875" customWidth="1"/>
    <col min="4" max="4" width="13.109375" customWidth="1"/>
  </cols>
  <sheetData>
    <row r="2" spans="3:4" x14ac:dyDescent="0.3">
      <c r="C2" t="s">
        <v>39</v>
      </c>
      <c r="D2" t="s">
        <v>0</v>
      </c>
    </row>
    <row r="3" spans="3:4" ht="27.6" x14ac:dyDescent="0.3">
      <c r="C3" s="1" t="s">
        <v>29</v>
      </c>
      <c r="D3" s="1">
        <v>9417</v>
      </c>
    </row>
    <row r="4" spans="3:4" ht="27.6" x14ac:dyDescent="0.3">
      <c r="C4" s="1" t="s">
        <v>30</v>
      </c>
      <c r="D4" s="1">
        <v>8836</v>
      </c>
    </row>
    <row r="5" spans="3:4" ht="27.6" x14ac:dyDescent="0.3">
      <c r="C5" s="1" t="s">
        <v>34</v>
      </c>
      <c r="D5" s="1">
        <v>7720</v>
      </c>
    </row>
    <row r="6" spans="3:4" ht="41.4" x14ac:dyDescent="0.3">
      <c r="C6" s="1" t="s">
        <v>31</v>
      </c>
      <c r="D6" s="1">
        <v>6689</v>
      </c>
    </row>
    <row r="7" spans="3:4" ht="41.4" x14ac:dyDescent="0.3">
      <c r="C7" s="1" t="s">
        <v>32</v>
      </c>
      <c r="D7" s="1">
        <v>6449</v>
      </c>
    </row>
    <row r="8" spans="3:4" ht="27.6" x14ac:dyDescent="0.3">
      <c r="C8" s="1" t="s">
        <v>35</v>
      </c>
      <c r="D8" s="1">
        <v>5884</v>
      </c>
    </row>
    <row r="9" spans="3:4" ht="27.6" x14ac:dyDescent="0.3">
      <c r="C9" s="1" t="s">
        <v>33</v>
      </c>
      <c r="D9" s="1">
        <v>5624</v>
      </c>
    </row>
    <row r="10" spans="3:4" ht="27.6" x14ac:dyDescent="0.3">
      <c r="C10" s="1" t="s">
        <v>98</v>
      </c>
      <c r="D10" s="1">
        <v>4199</v>
      </c>
    </row>
    <row r="11" spans="3:4" x14ac:dyDescent="0.3">
      <c r="C11" s="1" t="s">
        <v>36</v>
      </c>
      <c r="D11" s="1">
        <v>3897</v>
      </c>
    </row>
    <row r="12" spans="3:4" x14ac:dyDescent="0.3">
      <c r="C12" s="3" t="s">
        <v>99</v>
      </c>
      <c r="D12" s="3">
        <v>3886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5CC2-DA46-41EC-95D6-2D0C3954290F}">
  <dimension ref="C2:E12"/>
  <sheetViews>
    <sheetView zoomScale="85" zoomScaleNormal="85" workbookViewId="0">
      <selection activeCell="L7" sqref="L7"/>
    </sheetView>
  </sheetViews>
  <sheetFormatPr defaultRowHeight="14.4" x14ac:dyDescent="0.3"/>
  <cols>
    <col min="3" max="3" width="9.77734375" customWidth="1"/>
    <col min="4" max="4" width="14.6640625" customWidth="1"/>
    <col min="5" max="5" width="13.109375" customWidth="1"/>
  </cols>
  <sheetData>
    <row r="2" spans="3:5" x14ac:dyDescent="0.3">
      <c r="C2" t="s">
        <v>73</v>
      </c>
      <c r="D2" t="s">
        <v>2</v>
      </c>
      <c r="E2" t="s">
        <v>0</v>
      </c>
    </row>
    <row r="3" spans="3:5" ht="69" x14ac:dyDescent="0.3">
      <c r="C3" s="1" t="s">
        <v>63</v>
      </c>
      <c r="D3" s="1">
        <v>512645.19</v>
      </c>
      <c r="E3" s="1">
        <v>982</v>
      </c>
    </row>
    <row r="4" spans="3:5" ht="69" x14ac:dyDescent="0.3">
      <c r="C4" s="1" t="s">
        <v>64</v>
      </c>
      <c r="D4" s="1">
        <v>312456.49</v>
      </c>
      <c r="E4" s="1">
        <v>915</v>
      </c>
    </row>
    <row r="5" spans="3:5" ht="69" x14ac:dyDescent="0.3">
      <c r="C5" s="1" t="s">
        <v>65</v>
      </c>
      <c r="D5" s="1">
        <v>306138.8</v>
      </c>
      <c r="E5" s="1">
        <v>1806</v>
      </c>
    </row>
    <row r="6" spans="3:5" ht="69" x14ac:dyDescent="0.3">
      <c r="C6" s="1" t="s">
        <v>66</v>
      </c>
      <c r="D6" s="1">
        <v>291918.98</v>
      </c>
      <c r="E6" s="1">
        <v>1404</v>
      </c>
    </row>
    <row r="7" spans="3:5" ht="69" x14ac:dyDescent="0.3">
      <c r="C7" s="1" t="s">
        <v>67</v>
      </c>
      <c r="D7" s="1">
        <v>284903.08</v>
      </c>
      <c r="E7" s="1">
        <v>358</v>
      </c>
    </row>
    <row r="8" spans="3:5" ht="69" x14ac:dyDescent="0.3">
      <c r="C8" s="1" t="s">
        <v>68</v>
      </c>
      <c r="D8" s="1">
        <v>276578.63</v>
      </c>
      <c r="E8" s="1">
        <v>1314</v>
      </c>
    </row>
    <row r="9" spans="3:5" ht="69" x14ac:dyDescent="0.3">
      <c r="C9" s="1" t="s">
        <v>69</v>
      </c>
      <c r="D9" s="1">
        <v>264166.12</v>
      </c>
      <c r="E9" s="1">
        <v>1132</v>
      </c>
    </row>
    <row r="10" spans="3:5" ht="69" x14ac:dyDescent="0.3">
      <c r="C10" s="1" t="s">
        <v>70</v>
      </c>
      <c r="D10" s="1">
        <v>236414.48</v>
      </c>
      <c r="E10" s="1">
        <v>1287</v>
      </c>
    </row>
    <row r="11" spans="3:5" ht="69" x14ac:dyDescent="0.3">
      <c r="C11" s="1" t="s">
        <v>71</v>
      </c>
      <c r="D11" s="1">
        <v>206513.23</v>
      </c>
      <c r="E11" s="1">
        <v>585</v>
      </c>
    </row>
    <row r="12" spans="3:5" ht="69" x14ac:dyDescent="0.3">
      <c r="C12" s="3" t="s">
        <v>72</v>
      </c>
      <c r="D12" s="3">
        <v>185134.21</v>
      </c>
      <c r="E12" s="3">
        <v>336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1774-1FA3-4491-901C-D2212820C640}">
  <dimension ref="C2:E3"/>
  <sheetViews>
    <sheetView workbookViewId="0">
      <selection activeCell="F12" sqref="F12"/>
    </sheetView>
  </sheetViews>
  <sheetFormatPr defaultRowHeight="14.4" x14ac:dyDescent="0.3"/>
  <cols>
    <col min="3" max="3" width="15.5546875" customWidth="1"/>
    <col min="4" max="4" width="16.44140625" customWidth="1"/>
    <col min="5" max="5" width="12.33203125" customWidth="1"/>
  </cols>
  <sheetData>
    <row r="2" spans="3:5" x14ac:dyDescent="0.3">
      <c r="C2" t="s">
        <v>101</v>
      </c>
      <c r="D2" t="s">
        <v>1</v>
      </c>
      <c r="E2" t="s">
        <v>75</v>
      </c>
    </row>
    <row r="3" spans="3:5" ht="55.2" x14ac:dyDescent="0.3">
      <c r="C3" s="3" t="s">
        <v>100</v>
      </c>
      <c r="D3" s="3">
        <v>99441</v>
      </c>
      <c r="E3" s="3">
        <v>100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5EDE-BC34-46FB-8BF2-D2E7966A4B98}">
  <dimension ref="C2:E3"/>
  <sheetViews>
    <sheetView workbookViewId="0">
      <selection activeCell="E7" sqref="E7"/>
    </sheetView>
  </sheetViews>
  <sheetFormatPr defaultRowHeight="14.4" x14ac:dyDescent="0.3"/>
  <cols>
    <col min="3" max="3" width="17" customWidth="1"/>
    <col min="4" max="4" width="17.21875" customWidth="1"/>
    <col min="5" max="5" width="17.5546875" customWidth="1"/>
  </cols>
  <sheetData>
    <row r="2" spans="3:5" x14ac:dyDescent="0.3">
      <c r="C2" t="s">
        <v>97</v>
      </c>
      <c r="D2" t="s">
        <v>102</v>
      </c>
      <c r="E2" t="s">
        <v>103</v>
      </c>
    </row>
    <row r="3" spans="3:5" x14ac:dyDescent="0.3">
      <c r="C3" s="3">
        <v>172.74</v>
      </c>
      <c r="D3" s="3">
        <v>0</v>
      </c>
      <c r="E3" s="3">
        <v>13664.08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3BEA-2A9F-4A78-A0A8-5FDB632E5430}">
  <dimension ref="C2:E29"/>
  <sheetViews>
    <sheetView topLeftCell="A6" workbookViewId="0">
      <selection activeCell="B2" sqref="B2:F30"/>
    </sheetView>
  </sheetViews>
  <sheetFormatPr defaultRowHeight="14.4" x14ac:dyDescent="0.3"/>
  <cols>
    <col min="3" max="3" width="15.88671875" customWidth="1"/>
    <col min="4" max="4" width="14.6640625" customWidth="1"/>
    <col min="5" max="5" width="20.21875" customWidth="1"/>
  </cols>
  <sheetData>
    <row r="2" spans="3:5" x14ac:dyDescent="0.3">
      <c r="C2" t="s">
        <v>50</v>
      </c>
      <c r="D2" t="s">
        <v>2</v>
      </c>
      <c r="E2" t="s">
        <v>121</v>
      </c>
    </row>
    <row r="3" spans="3:5" x14ac:dyDescent="0.3">
      <c r="C3" s="1" t="s">
        <v>40</v>
      </c>
      <c r="D3" s="1">
        <v>7726078.3499999996</v>
      </c>
      <c r="E3" s="1">
        <v>37.54</v>
      </c>
    </row>
    <row r="4" spans="3:5" x14ac:dyDescent="0.3">
      <c r="C4" s="1" t="s">
        <v>41</v>
      </c>
      <c r="D4" s="1">
        <v>2795615.67</v>
      </c>
      <c r="E4" s="1">
        <v>13.58</v>
      </c>
    </row>
    <row r="5" spans="3:5" x14ac:dyDescent="0.3">
      <c r="C5" s="1" t="s">
        <v>42</v>
      </c>
      <c r="D5" s="1">
        <v>2351221.09</v>
      </c>
      <c r="E5" s="1">
        <v>11.42</v>
      </c>
    </row>
    <row r="6" spans="3:5" x14ac:dyDescent="0.3">
      <c r="C6" s="1" t="s">
        <v>43</v>
      </c>
      <c r="D6" s="1">
        <v>1160175.6599999999</v>
      </c>
      <c r="E6" s="1">
        <v>5.64</v>
      </c>
    </row>
    <row r="7" spans="3:5" x14ac:dyDescent="0.3">
      <c r="C7" s="1" t="s">
        <v>44</v>
      </c>
      <c r="D7" s="1">
        <v>1079795.49</v>
      </c>
      <c r="E7" s="1">
        <v>5.25</v>
      </c>
    </row>
    <row r="8" spans="3:5" x14ac:dyDescent="0.3">
      <c r="C8" s="1" t="s">
        <v>45</v>
      </c>
      <c r="D8" s="1">
        <v>805070.98</v>
      </c>
      <c r="E8" s="1">
        <v>3.91</v>
      </c>
    </row>
    <row r="9" spans="3:5" x14ac:dyDescent="0.3">
      <c r="C9" s="1" t="s">
        <v>46</v>
      </c>
      <c r="D9" s="1">
        <v>801276.45</v>
      </c>
      <c r="E9" s="1">
        <v>3.89</v>
      </c>
    </row>
    <row r="10" spans="3:5" x14ac:dyDescent="0.3">
      <c r="C10" s="1" t="s">
        <v>47</v>
      </c>
      <c r="D10" s="1">
        <v>520481.65</v>
      </c>
      <c r="E10" s="1">
        <v>2.5299999999999998</v>
      </c>
    </row>
    <row r="11" spans="3:5" x14ac:dyDescent="0.3">
      <c r="C11" s="1" t="s">
        <v>48</v>
      </c>
      <c r="D11" s="1">
        <v>438095.32</v>
      </c>
      <c r="E11" s="1">
        <v>2.13</v>
      </c>
    </row>
    <row r="12" spans="3:5" x14ac:dyDescent="0.3">
      <c r="C12" s="1" t="s">
        <v>49</v>
      </c>
      <c r="D12" s="1">
        <v>408611.64</v>
      </c>
      <c r="E12" s="1">
        <v>1.99</v>
      </c>
    </row>
    <row r="13" spans="3:5" x14ac:dyDescent="0.3">
      <c r="C13" s="1" t="s">
        <v>104</v>
      </c>
      <c r="D13" s="1">
        <v>380294.18</v>
      </c>
      <c r="E13" s="1">
        <v>1.85</v>
      </c>
    </row>
    <row r="14" spans="3:5" x14ac:dyDescent="0.3">
      <c r="C14" s="1" t="s">
        <v>105</v>
      </c>
      <c r="D14" s="1">
        <v>349290.36</v>
      </c>
      <c r="E14" s="1">
        <v>1.7</v>
      </c>
    </row>
    <row r="15" spans="3:5" x14ac:dyDescent="0.3">
      <c r="C15" s="1" t="s">
        <v>106</v>
      </c>
      <c r="D15" s="1">
        <v>263217.7</v>
      </c>
      <c r="E15" s="1">
        <v>1.28</v>
      </c>
    </row>
    <row r="16" spans="3:5" x14ac:dyDescent="0.3">
      <c r="C16" s="1" t="s">
        <v>107</v>
      </c>
      <c r="D16" s="1">
        <v>257802.26</v>
      </c>
      <c r="E16" s="1">
        <v>1.25</v>
      </c>
    </row>
    <row r="17" spans="3:5" x14ac:dyDescent="0.3">
      <c r="C17" s="1" t="s">
        <v>108</v>
      </c>
      <c r="D17" s="1">
        <v>200363.24</v>
      </c>
      <c r="E17" s="1">
        <v>0.97</v>
      </c>
    </row>
    <row r="18" spans="3:5" x14ac:dyDescent="0.3">
      <c r="C18" s="1" t="s">
        <v>109</v>
      </c>
      <c r="D18" s="1">
        <v>181660.73</v>
      </c>
      <c r="E18" s="1">
        <v>0.88</v>
      </c>
    </row>
    <row r="19" spans="3:5" x14ac:dyDescent="0.3">
      <c r="C19" s="1" t="s">
        <v>110</v>
      </c>
      <c r="D19" s="1">
        <v>167670.26999999999</v>
      </c>
      <c r="E19" s="1">
        <v>0.81</v>
      </c>
    </row>
    <row r="20" spans="3:5" x14ac:dyDescent="0.3">
      <c r="C20" s="1" t="s">
        <v>111</v>
      </c>
      <c r="D20" s="1">
        <v>137158.89000000001</v>
      </c>
      <c r="E20" s="1">
        <v>0.67</v>
      </c>
    </row>
    <row r="21" spans="3:5" x14ac:dyDescent="0.3">
      <c r="C21" s="1" t="s">
        <v>112</v>
      </c>
      <c r="D21" s="1">
        <v>117192.91</v>
      </c>
      <c r="E21" s="1">
        <v>0.56999999999999995</v>
      </c>
    </row>
    <row r="22" spans="3:5" x14ac:dyDescent="0.3">
      <c r="C22" s="1" t="s">
        <v>113</v>
      </c>
      <c r="D22" s="1">
        <v>112296.47</v>
      </c>
      <c r="E22" s="1">
        <v>0.55000000000000004</v>
      </c>
    </row>
    <row r="23" spans="3:5" x14ac:dyDescent="0.3">
      <c r="C23" s="1" t="s">
        <v>114</v>
      </c>
      <c r="D23" s="1">
        <v>90651.44</v>
      </c>
      <c r="E23" s="1">
        <v>0.44</v>
      </c>
    </row>
    <row r="24" spans="3:5" x14ac:dyDescent="0.3">
      <c r="C24" s="1" t="s">
        <v>115</v>
      </c>
      <c r="D24" s="1">
        <v>72412.08</v>
      </c>
      <c r="E24" s="1">
        <v>0.35</v>
      </c>
    </row>
    <row r="25" spans="3:5" x14ac:dyDescent="0.3">
      <c r="C25" s="1" t="s">
        <v>116</v>
      </c>
      <c r="D25" s="1">
        <v>69184.479999999996</v>
      </c>
      <c r="E25" s="1">
        <v>0.34</v>
      </c>
    </row>
    <row r="26" spans="3:5" x14ac:dyDescent="0.3">
      <c r="C26" s="1" t="s">
        <v>117</v>
      </c>
      <c r="D26" s="1">
        <v>34956.93</v>
      </c>
      <c r="E26" s="1">
        <v>0.17</v>
      </c>
    </row>
    <row r="27" spans="3:5" x14ac:dyDescent="0.3">
      <c r="C27" s="1" t="s">
        <v>118</v>
      </c>
      <c r="D27" s="1">
        <v>24984.86</v>
      </c>
      <c r="E27" s="1">
        <v>0.12</v>
      </c>
    </row>
    <row r="28" spans="3:5" x14ac:dyDescent="0.3">
      <c r="C28" s="1" t="s">
        <v>119</v>
      </c>
      <c r="D28" s="1">
        <v>21642.7</v>
      </c>
      <c r="E28" s="1">
        <v>0.11</v>
      </c>
    </row>
    <row r="29" spans="3:5" x14ac:dyDescent="0.3">
      <c r="C29" s="3" t="s">
        <v>120</v>
      </c>
      <c r="D29" s="3">
        <v>12462.21</v>
      </c>
      <c r="E29" s="3">
        <v>0.06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44FF-1B47-4744-ACFD-9871BAD5FF7F}">
  <dimension ref="C2:E12"/>
  <sheetViews>
    <sheetView workbookViewId="0">
      <selection activeCell="I5" sqref="I5"/>
    </sheetView>
  </sheetViews>
  <sheetFormatPr defaultRowHeight="14.4" x14ac:dyDescent="0.3"/>
  <cols>
    <col min="3" max="3" width="30.5546875" customWidth="1"/>
    <col min="4" max="4" width="17.88671875" customWidth="1"/>
    <col min="5" max="5" width="13.109375" customWidth="1"/>
  </cols>
  <sheetData>
    <row r="2" spans="3:5" x14ac:dyDescent="0.3">
      <c r="C2" t="s">
        <v>39</v>
      </c>
      <c r="D2" t="s">
        <v>132</v>
      </c>
      <c r="E2" t="s">
        <v>0</v>
      </c>
    </row>
    <row r="3" spans="3:5" ht="55.2" x14ac:dyDescent="0.3">
      <c r="C3" s="1" t="s">
        <v>122</v>
      </c>
      <c r="D3" s="1">
        <v>4.4400000000000004</v>
      </c>
      <c r="E3" s="1">
        <v>561</v>
      </c>
    </row>
    <row r="4" spans="3:5" ht="55.2" x14ac:dyDescent="0.3">
      <c r="C4" s="1" t="s">
        <v>123</v>
      </c>
      <c r="D4" s="1">
        <v>4.42</v>
      </c>
      <c r="E4" s="1">
        <v>101</v>
      </c>
    </row>
    <row r="5" spans="3:5" ht="41.4" x14ac:dyDescent="0.3">
      <c r="C5" s="1" t="s">
        <v>124</v>
      </c>
      <c r="D5" s="1">
        <v>4.38</v>
      </c>
      <c r="E5" s="1">
        <v>269</v>
      </c>
    </row>
    <row r="6" spans="3:5" ht="27.6" x14ac:dyDescent="0.3">
      <c r="C6" s="1" t="s">
        <v>125</v>
      </c>
      <c r="D6" s="1">
        <v>4.32</v>
      </c>
      <c r="E6" s="1">
        <v>290</v>
      </c>
    </row>
    <row r="7" spans="3:5" ht="41.4" x14ac:dyDescent="0.3">
      <c r="C7" s="1" t="s">
        <v>126</v>
      </c>
      <c r="D7" s="1">
        <v>4.3</v>
      </c>
      <c r="E7" s="1">
        <v>1159</v>
      </c>
    </row>
    <row r="8" spans="3:5" x14ac:dyDescent="0.3">
      <c r="C8" s="1" t="s">
        <v>127</v>
      </c>
      <c r="D8" s="1">
        <v>4.2300000000000004</v>
      </c>
      <c r="E8" s="1">
        <v>511</v>
      </c>
    </row>
    <row r="9" spans="3:5" ht="27.6" x14ac:dyDescent="0.3">
      <c r="C9" s="1" t="s">
        <v>128</v>
      </c>
      <c r="D9" s="1">
        <v>4.22</v>
      </c>
      <c r="E9" s="1">
        <v>273</v>
      </c>
    </row>
    <row r="10" spans="3:5" ht="41.4" x14ac:dyDescent="0.3">
      <c r="C10" s="1" t="s">
        <v>129</v>
      </c>
      <c r="D10" s="1">
        <v>4.21</v>
      </c>
      <c r="E10" s="1">
        <v>268</v>
      </c>
    </row>
    <row r="11" spans="3:5" ht="27.6" x14ac:dyDescent="0.3">
      <c r="C11" s="1" t="s">
        <v>130</v>
      </c>
      <c r="D11" s="1">
        <v>4.2</v>
      </c>
      <c r="E11" s="1">
        <v>2020</v>
      </c>
    </row>
    <row r="12" spans="3:5" ht="27.6" x14ac:dyDescent="0.3">
      <c r="C12" s="3" t="s">
        <v>131</v>
      </c>
      <c r="D12" s="3">
        <v>4.1900000000000004</v>
      </c>
      <c r="E12" s="3">
        <v>2607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6DC2-7087-42FC-8903-4C32FFEBECB8}">
  <dimension ref="C2:D27"/>
  <sheetViews>
    <sheetView topLeftCell="A5" workbookViewId="0">
      <selection activeCell="H17" sqref="H17"/>
    </sheetView>
  </sheetViews>
  <sheetFormatPr defaultRowHeight="14.4" x14ac:dyDescent="0.3"/>
  <cols>
    <col min="3" max="3" width="14.109375" customWidth="1"/>
    <col min="4" max="4" width="14.6640625" customWidth="1"/>
  </cols>
  <sheetData>
    <row r="2" spans="3:4" x14ac:dyDescent="0.3">
      <c r="C2" t="s">
        <v>28</v>
      </c>
      <c r="D2" t="s">
        <v>2</v>
      </c>
    </row>
    <row r="3" spans="3:4" x14ac:dyDescent="0.3">
      <c r="C3" s="1" t="s">
        <v>3</v>
      </c>
      <c r="D3" s="1">
        <v>388.47</v>
      </c>
    </row>
    <row r="4" spans="3:4" x14ac:dyDescent="0.3">
      <c r="C4" s="1" t="s">
        <v>4</v>
      </c>
      <c r="D4" s="1">
        <v>76559.05</v>
      </c>
    </row>
    <row r="5" spans="3:4" x14ac:dyDescent="0.3">
      <c r="C5" s="1" t="s">
        <v>5</v>
      </c>
      <c r="D5" s="1">
        <v>19.62</v>
      </c>
    </row>
    <row r="6" spans="3:4" x14ac:dyDescent="0.3">
      <c r="C6" s="1" t="s">
        <v>6</v>
      </c>
      <c r="D6" s="1">
        <v>190806.27</v>
      </c>
    </row>
    <row r="7" spans="3:4" x14ac:dyDescent="0.3">
      <c r="C7" s="1" t="s">
        <v>7</v>
      </c>
      <c r="D7" s="1">
        <v>351848.13</v>
      </c>
    </row>
    <row r="8" spans="3:4" x14ac:dyDescent="0.3">
      <c r="C8" s="1" t="s">
        <v>8</v>
      </c>
      <c r="D8" s="1">
        <v>547769.84</v>
      </c>
    </row>
    <row r="9" spans="3:4" x14ac:dyDescent="0.3">
      <c r="C9" s="1" t="s">
        <v>9</v>
      </c>
      <c r="D9" s="1">
        <v>512126.52</v>
      </c>
    </row>
    <row r="10" spans="3:4" x14ac:dyDescent="0.3">
      <c r="C10" s="1" t="s">
        <v>10</v>
      </c>
      <c r="D10" s="1">
        <v>737425.31</v>
      </c>
    </row>
    <row r="11" spans="3:4" x14ac:dyDescent="0.3">
      <c r="C11" s="1" t="s">
        <v>11</v>
      </c>
      <c r="D11" s="1">
        <v>613777.41</v>
      </c>
    </row>
    <row r="12" spans="3:4" x14ac:dyDescent="0.3">
      <c r="C12" s="1" t="s">
        <v>12</v>
      </c>
      <c r="D12" s="1">
        <v>749242.84</v>
      </c>
    </row>
    <row r="13" spans="3:4" x14ac:dyDescent="0.3">
      <c r="C13" s="1" t="s">
        <v>13</v>
      </c>
      <c r="D13" s="1">
        <v>884168.36</v>
      </c>
    </row>
    <row r="14" spans="3:4" x14ac:dyDescent="0.3">
      <c r="C14" s="1" t="s">
        <v>14</v>
      </c>
      <c r="D14" s="1">
        <v>1030141.97</v>
      </c>
    </row>
    <row r="15" spans="3:4" x14ac:dyDescent="0.3">
      <c r="C15" s="1" t="s">
        <v>15</v>
      </c>
      <c r="D15" s="1">
        <v>1046083.41</v>
      </c>
    </row>
    <row r="16" spans="3:4" x14ac:dyDescent="0.3">
      <c r="C16" s="1" t="s">
        <v>16</v>
      </c>
      <c r="D16" s="1">
        <v>1610581.21</v>
      </c>
    </row>
    <row r="17" spans="3:4" x14ac:dyDescent="0.3">
      <c r="C17" s="1" t="s">
        <v>17</v>
      </c>
      <c r="D17" s="1">
        <v>1060949.6299999999</v>
      </c>
    </row>
    <row r="18" spans="3:4" x14ac:dyDescent="0.3">
      <c r="C18" s="1" t="s">
        <v>18</v>
      </c>
      <c r="D18" s="1">
        <v>1425461.4</v>
      </c>
    </row>
    <row r="19" spans="3:4" x14ac:dyDescent="0.3">
      <c r="C19" s="1" t="s">
        <v>19</v>
      </c>
      <c r="D19" s="1">
        <v>1327338.97</v>
      </c>
    </row>
    <row r="20" spans="3:4" x14ac:dyDescent="0.3">
      <c r="C20" s="1" t="s">
        <v>20</v>
      </c>
      <c r="D20" s="1">
        <v>1486669.64</v>
      </c>
    </row>
    <row r="21" spans="3:4" x14ac:dyDescent="0.3">
      <c r="C21" s="1" t="s">
        <v>21</v>
      </c>
      <c r="D21" s="1">
        <v>1500373.12</v>
      </c>
    </row>
    <row r="22" spans="3:4" x14ac:dyDescent="0.3">
      <c r="C22" s="1" t="s">
        <v>22</v>
      </c>
      <c r="D22" s="1">
        <v>1512010.75</v>
      </c>
    </row>
    <row r="23" spans="3:4" x14ac:dyDescent="0.3">
      <c r="C23" s="1" t="s">
        <v>23</v>
      </c>
      <c r="D23" s="1">
        <v>1299683.17</v>
      </c>
    </row>
    <row r="24" spans="3:4" x14ac:dyDescent="0.3">
      <c r="C24" s="1" t="s">
        <v>24</v>
      </c>
      <c r="D24" s="1">
        <v>1362267.08</v>
      </c>
    </row>
    <row r="25" spans="3:4" x14ac:dyDescent="0.3">
      <c r="C25" s="1" t="s">
        <v>25</v>
      </c>
      <c r="D25" s="1">
        <v>1248942.6299999999</v>
      </c>
    </row>
    <row r="26" spans="3:4" x14ac:dyDescent="0.3">
      <c r="C26" s="1" t="s">
        <v>26</v>
      </c>
      <c r="D26" s="1">
        <v>4439.54</v>
      </c>
    </row>
    <row r="27" spans="3:4" x14ac:dyDescent="0.3">
      <c r="C27" s="3" t="s">
        <v>27</v>
      </c>
      <c r="D27" s="3">
        <v>589.66999999999996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Q1_Business_KPI</vt:lpstr>
      <vt:lpstr>Q2_Monthly_Revenue</vt:lpstr>
      <vt:lpstr>Q3_Product_Category_Revenue</vt:lpstr>
      <vt:lpstr>Q4_State_Revenue</vt:lpstr>
      <vt:lpstr>Q5_Top_Customers</vt:lpstr>
      <vt:lpstr>Q6_Top_Sellers</vt:lpstr>
      <vt:lpstr>Q7_Late_Delivery</vt:lpstr>
      <vt:lpstr>Q8_Customer_Satisfaction</vt:lpstr>
      <vt:lpstr>Q9_Payment_Methods</vt:lpstr>
      <vt:lpstr>Q10_Order_Status</vt:lpstr>
      <vt:lpstr>Q11_Delivery_Time</vt:lpstr>
      <vt:lpstr>Q12_Revenue_ReviewScore</vt:lpstr>
      <vt:lpstr>Q13_Monthly_Order_Trend</vt:lpstr>
      <vt:lpstr>Q14_Top_Product_Categories</vt:lpstr>
      <vt:lpstr>Q15_Top_Sellers_Revenueseller_i</vt:lpstr>
      <vt:lpstr>Q16_Repeat_Customers</vt:lpstr>
      <vt:lpstr>Q17_Average_Order_Value</vt:lpstr>
      <vt:lpstr>Q18_State_Revenue_Contribution</vt:lpstr>
      <vt:lpstr>Q19_Category_Satisfaction</vt:lpstr>
      <vt:lpstr>Q20_Monthly_Revenue_Growth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More</dc:creator>
  <cp:lastModifiedBy>Namit More</cp:lastModifiedBy>
  <dcterms:created xsi:type="dcterms:W3CDTF">2015-06-05T18:17:20Z</dcterms:created>
  <dcterms:modified xsi:type="dcterms:W3CDTF">2026-06-10T17:39:28Z</dcterms:modified>
</cp:coreProperties>
</file>