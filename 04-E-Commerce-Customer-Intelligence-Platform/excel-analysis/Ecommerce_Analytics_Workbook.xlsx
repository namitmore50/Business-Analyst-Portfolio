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E-Commerce-Customer-Intelligence-Platform/excel-analysis/"/>
    </mc:Choice>
  </mc:AlternateContent>
  <xr:revisionPtr revIDLastSave="115" documentId="11_F25DC773A252ABDACC1048ECC19B79EE5BDE58E9" xr6:coauthVersionLast="47" xr6:coauthVersionMax="47" xr10:uidLastSave="{6F5E127E-04AA-4019-81CA-3152290AAC7B}"/>
  <bookViews>
    <workbookView xWindow="-108" yWindow="-108" windowWidth="23256" windowHeight="12456" activeTab="3" xr2:uid="{00000000-000D-0000-FFFF-FFFF00000000}"/>
  </bookViews>
  <sheets>
    <sheet name="KPI_Dashboard" sheetId="4" r:id="rId1"/>
    <sheet name="Business_Case" sheetId="2" r:id="rId2"/>
    <sheet name="AB_Test_Calculation" sheetId="3" r:id="rId3"/>
    <sheet name="Seller_SLA_Summary" sheetId="1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J6" i="1" s="1"/>
  <c r="E11" i="1"/>
  <c r="E10" i="1"/>
  <c r="E9" i="1"/>
  <c r="E8" i="1"/>
  <c r="E7" i="1"/>
  <c r="E6" i="1"/>
  <c r="J5" i="1"/>
  <c r="E5" i="1"/>
  <c r="J4" i="1"/>
  <c r="E4" i="1"/>
  <c r="B7" i="3"/>
  <c r="B6" i="3"/>
  <c r="B7" i="2"/>
  <c r="B6" i="2"/>
  <c r="B5" i="2"/>
  <c r="E14" i="4"/>
  <c r="E8" i="4"/>
  <c r="E3" i="4"/>
  <c r="E9" i="4"/>
</calcChain>
</file>

<file path=xl/sharedStrings.xml><?xml version="1.0" encoding="utf-8"?>
<sst xmlns="http://schemas.openxmlformats.org/spreadsheetml/2006/main" count="107" uniqueCount="82">
  <si>
    <t>KPI Name</t>
  </si>
  <si>
    <t>Current Value</t>
  </si>
  <si>
    <t>Target</t>
  </si>
  <si>
    <t>RAG Status</t>
  </si>
  <si>
    <t>Owner</t>
  </si>
  <si>
    <t>Cadence</t>
  </si>
  <si>
    <t>Formula</t>
  </si>
  <si>
    <t>Total Revenue</t>
  </si>
  <si>
    <t>Sum(payment_value)</t>
  </si>
  <si>
    <t>Finance</t>
  </si>
  <si>
    <t>Monthly</t>
  </si>
  <si>
    <t>Total Orders</t>
  </si>
  <si>
    <t>Count(order_id)</t>
  </si>
  <si>
    <t>Operations</t>
  </si>
  <si>
    <t>Total Customers</t>
  </si>
  <si>
    <t>Count(customer_id)</t>
  </si>
  <si>
    <t>Customer Team</t>
  </si>
  <si>
    <t>Average Order Value</t>
  </si>
  <si>
    <t>Revenue / Orders</t>
  </si>
  <si>
    <t>Sales</t>
  </si>
  <si>
    <t>On-Time Delivery Rate</t>
  </si>
  <si>
    <t>% On-Time Orders</t>
  </si>
  <si>
    <t>Logistics</t>
  </si>
  <si>
    <t>Weekly</t>
  </si>
  <si>
    <t>Late Delivery Rate</t>
  </si>
  <si>
    <t>% Late Orders</t>
  </si>
  <si>
    <t>Avg Delivery Days</t>
  </si>
  <si>
    <t>Avg(delivery_days)</t>
  </si>
  <si>
    <t>Avg Review Score</t>
  </si>
  <si>
    <t>Avg(review_score)</t>
  </si>
  <si>
    <t>Customer Experience</t>
  </si>
  <si>
    <t>5-Star Review %</t>
  </si>
  <si>
    <t>5-star reviews / total</t>
  </si>
  <si>
    <t>Credit Card Usage</t>
  </si>
  <si>
    <t>% Credit Card Orders</t>
  </si>
  <si>
    <t>Payments</t>
  </si>
  <si>
    <t>Delivered Orders %</t>
  </si>
  <si>
    <t>Delivered / Total Orders</t>
  </si>
  <si>
    <t>Cancellation Rate</t>
  </si>
  <si>
    <t>Cancelled / Total Orders</t>
  </si>
  <si>
    <t>Top State Revenue Share</t>
  </si>
  <si>
    <t>SP Revenue %</t>
  </si>
  <si>
    <t>Regional Sales</t>
  </si>
  <si>
    <t>Top Category Revenue</t>
  </si>
  <si>
    <t>Bed Bath Table Revenue</t>
  </si>
  <si>
    <t>Product Team</t>
  </si>
  <si>
    <t>Amber</t>
  </si>
  <si>
    <t>Green</t>
  </si>
  <si>
    <t>A (Metric)</t>
  </si>
  <si>
    <t>B (Value)</t>
  </si>
  <si>
    <t>At-Risk Customers Identified</t>
  </si>
  <si>
    <t>Average Order Value (R$)</t>
  </si>
  <si>
    <t>Assumed Reactivation Rate</t>
  </si>
  <si>
    <t>Revenue Recovered</t>
  </si>
  <si>
    <t>Campaign Cost (R$5/customer)</t>
  </si>
  <si>
    <t>Net ROI %</t>
  </si>
  <si>
    <t>Metric</t>
  </si>
  <si>
    <t>Value</t>
  </si>
  <si>
    <t>Baseline Conversion Rate</t>
  </si>
  <si>
    <t>Minimum Detectable Effect (MDE)</t>
  </si>
  <si>
    <t>Confidence Level</t>
  </si>
  <si>
    <t>Daily Orders</t>
  </si>
  <si>
    <t>Required Sample Size Per Group</t>
  </si>
  <si>
    <t>Expected Test Duration (Days)</t>
  </si>
  <si>
    <t>seller_id</t>
  </si>
  <si>
    <t>total_revenue</t>
  </si>
  <si>
    <t>7c67e1448b00f6e969d365cea6b010ab</t>
  </si>
  <si>
    <t>1025f0e2d44d7041d6cf58b6550e0bfa</t>
  </si>
  <si>
    <t>4a3ca9315b744ce9f8e9374361493884</t>
  </si>
  <si>
    <t>1f50f920176fa81dab994f9023523100</t>
  </si>
  <si>
    <t>53243585a1d6dc2643021fd1853d8905</t>
  </si>
  <si>
    <t>da8622b14eb17ae2831f4ac5b9dab84a</t>
  </si>
  <si>
    <t>4869f7a5dfa277a7dca6462dcf3b52b2</t>
  </si>
  <si>
    <t>955fee9216a65b617aa5c0531780ce60</t>
  </si>
  <si>
    <t>fa1c13f2614d7b5c4749cbc52fecda94</t>
  </si>
  <si>
    <t>7e93a43ef30c4f03f38b393420bc753a</t>
  </si>
  <si>
    <t>Gold</t>
  </si>
  <si>
    <t>Silver</t>
  </si>
  <si>
    <t>Bronze</t>
  </si>
  <si>
    <t>seller_tier</t>
  </si>
  <si>
    <t>Tier</t>
  </si>
  <si>
    <t>Avg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</si>
</sst>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43" fontId="0" fillId="0" borderId="0" xfId="1" applyFont="1" applyAlignment="1">
      <alignment horizontal="right" vertical="center" wrapText="1"/>
    </xf>
    <xf numFmtId="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4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2" fontId="0" fillId="0" borderId="0" xfId="1" applyNumberFormat="1" applyFont="1"/>
    <xf numFmtId="2" fontId="3" fillId="2" borderId="1" xfId="1" applyNumberFormat="1" applyFont="1" applyFill="1" applyBorder="1" applyAlignment="1">
      <alignment horizontal="left" vertical="center" wrapText="1"/>
    </xf>
    <xf numFmtId="2" fontId="3" fillId="2" borderId="2" xfId="1" applyNumberFormat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Seller Revenue by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Seller_SLA_Summary!$I$4:$I$6</c:f>
              <c:strCache>
                <c:ptCount val="3"/>
                <c:pt idx="0">
                  <c:v>Gold</c:v>
                </c:pt>
                <c:pt idx="1">
                  <c:v>Silver</c:v>
                </c:pt>
                <c:pt idx="2">
                  <c:v>Bronze</c:v>
                </c:pt>
              </c:strCache>
            </c:strRef>
          </c:cat>
          <c:val>
            <c:numRef>
              <c:f>Seller_SLA_Summary!$J$4:$J$6</c:f>
              <c:numCache>
                <c:formatCode>General</c:formatCode>
                <c:ptCount val="3"/>
                <c:pt idx="0">
                  <c:v>512645.19</c:v>
                </c:pt>
                <c:pt idx="1">
                  <c:v>272386.22625000001</c:v>
                </c:pt>
                <c:pt idx="2">
                  <c:v>185134.21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7-4951-AD87-3CA53F1E43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7130160"/>
        <c:axId val="997131120"/>
      </c:barChart>
      <c:catAx>
        <c:axId val="99713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31120"/>
        <c:crosses val="autoZero"/>
        <c:auto val="1"/>
        <c:lblAlgn val="ctr"/>
        <c:lblOffset val="100"/>
        <c:noMultiLvlLbl val="0"/>
      </c:catAx>
      <c:valAx>
        <c:axId val="997131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2</xdr:row>
      <xdr:rowOff>11430</xdr:rowOff>
    </xdr:from>
    <xdr:to>
      <xdr:col>18</xdr:col>
      <xdr:colOff>327660</xdr:colOff>
      <xdr:row>5</xdr:row>
      <xdr:rowOff>819150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7B5D29-E778-BF37-341C-E1F9124F9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ql-analysis/SQL_Query_Results.xlsx" TargetMode="External"/><Relationship Id="rId2" Type="http://schemas.openxmlformats.org/officeDocument/2006/relationships/externalLinkPath" Target="https://d.docs.live.net/76a83428226743c3/Desktop/GitHub/Business-Analyst-Portfolio/E-Commerce-Customer-Intelligence-Platform/sql-analysis/SQL_Query_Results.xlsx" TargetMode="External"/><Relationship Id="rId1" Type="http://schemas.openxmlformats.org/officeDocument/2006/relationships/externalLinkPath" Target="/76a83428226743c3/Desktop/GitHub/Business-Analyst-Portfolio/E-Commerce-Customer-Intelligence-Platform/sql-analysis/SQL_Query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1_Business_KPI"/>
      <sheetName val="Q2_Monthly_Revenue"/>
      <sheetName val="Q3_Product_Category_Revenue"/>
      <sheetName val="Q4_State_Revenue"/>
      <sheetName val="Q5_Top_Customers"/>
      <sheetName val="Q6_Top_Sellers"/>
      <sheetName val="Q7_Late_Delivery"/>
      <sheetName val="Q8_Customer_Satisfaction"/>
      <sheetName val="Q9_Payment_Methods"/>
      <sheetName val="Q10_Order_Status"/>
      <sheetName val="Q11_Delivery_Time"/>
      <sheetName val="Q12_Revenue_ReviewScore"/>
      <sheetName val="Q13_Monthly_Order_Trend"/>
      <sheetName val="Q14_Top_Product_Categories"/>
      <sheetName val="Q15_Top_Sellers_Revenueseller_i"/>
      <sheetName val="Q16_Repeat_Customers"/>
      <sheetName val="Q17_Average_Order_Value"/>
      <sheetName val="Q18_State_Revenue_Contribution"/>
      <sheetName val="Q19_Category_Satisfaction"/>
      <sheetName val="Q20_Monthly_Revenue_Grow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ED5016-C195-4834-AA6F-555E653586CC}" name="Table2" displayName="Table2" ref="A2:G16" totalsRowShown="0" headerRowDxfId="14" dataDxfId="15">
  <autoFilter ref="A2:G16" xr:uid="{E2ED5016-C195-4834-AA6F-555E653586CC}"/>
  <tableColumns count="7">
    <tableColumn id="1" xr3:uid="{E6271180-7CB3-4449-8E89-3264BA6BBF43}" name="KPI Name" dataDxfId="21"/>
    <tableColumn id="2" xr3:uid="{B8ED2706-0D81-42EB-B2F1-4171C45E02F8}" name="Formula" dataDxfId="20"/>
    <tableColumn id="3" xr3:uid="{4E1D20EC-EC13-4243-BF0D-3FF30926991B}" name="Current Value" dataDxfId="19"/>
    <tableColumn id="4" xr3:uid="{C8A3F41E-23DD-4599-9962-BF99262E9283}" name="Target" dataDxfId="18"/>
    <tableColumn id="5" xr3:uid="{42AA1004-6C38-427A-9753-0670B03210B4}" name="RAG Status" dataDxfId="13">
      <calculatedColumnFormula>IF(C3&lt;=D3,"Green",IF(C3&lt;=D3*1.1,"Amber","Red"))</calculatedColumnFormula>
    </tableColumn>
    <tableColumn id="6" xr3:uid="{F4FC0DA9-944E-4A87-A54C-1F1D71E52149}" name="Owner" dataDxfId="17"/>
    <tableColumn id="7" xr3:uid="{D26DBFE7-E0F8-432C-9759-EE5CC84F38A7}" name="Cadenc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1B5500-9984-4925-A3D1-951282223D1F}" name="Table3" displayName="Table3" ref="A1:B7" totalsRowShown="0" headerRowDxfId="11">
  <autoFilter ref="A1:B7" xr:uid="{451B5500-9984-4925-A3D1-951282223D1F}"/>
  <tableColumns count="2">
    <tableColumn id="1" xr3:uid="{8A6DF9BB-6701-43C0-9FB4-E33F77C58845}" name="A (Metric)" dataDxfId="12"/>
    <tableColumn id="2" xr3:uid="{E403E557-05B9-40E3-B5D8-C5D1FC89CBBB}" name="B (Value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74B6B1-E89F-430A-B2D2-6D5F0684E958}" name="Table4" displayName="Table4" ref="A1:B7" totalsRowShown="0" headerRowDxfId="9">
  <autoFilter ref="A1:B7" xr:uid="{1774B6B1-E89F-430A-B2D2-6D5F0684E958}"/>
  <tableColumns count="2">
    <tableColumn id="1" xr3:uid="{E2C2861F-5781-41B2-B7E3-B2889E3CA413}" name="Metric" dataDxfId="10"/>
    <tableColumn id="2" xr3:uid="{70ACB5B6-2FBE-453E-9576-6B72ACD06263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99077-2130-4794-AA9D-3F27431191C1}" name="Table67" displayName="Table67" ref="C3:E13" totalsRowShown="0" dataDxfId="8" tableBorderDxfId="7">
  <autoFilter ref="C3:E13" xr:uid="{72499077-2130-4794-AA9D-3F27431191C1}"/>
  <tableColumns count="3">
    <tableColumn id="1" xr3:uid="{4DDA78FE-729A-4F21-8896-8D3E6E35B15B}" name="seller_id" dataDxfId="6"/>
    <tableColumn id="2" xr3:uid="{8ACB7132-05A2-4B6D-AFEA-A2E8BEAD8202}" name="total_revenue" dataDxfId="0" dataCellStyle="Comma"/>
    <tableColumn id="3" xr3:uid="{2E95EE65-62E2-4E3E-852C-05D4425946AD}" name="seller_tier" dataDxfId="5">
      <calculatedColumnFormula>IF(D4&gt;400000,"Gold",IF(D4&gt;=200000,"Silver","Bronze"))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301D20-973B-46B3-BB01-8B420E0B6350}" name="Table7" displayName="Table7" ref="I3:J6" totalsRowShown="0" headerRowDxfId="4" dataDxfId="3">
  <autoFilter ref="I3:J6" xr:uid="{76301D20-973B-46B3-BB01-8B420E0B6350}"/>
  <tableColumns count="2">
    <tableColumn id="1" xr3:uid="{2A8A85E2-5C20-4AD9-8356-11894B4BFA5C}" name="Tier" dataDxfId="2"/>
    <tableColumn id="2" xr3:uid="{47519333-E7D3-4343-95CF-A7697F978EB7}" name="Avg Reven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8626-3590-4A28-AC0B-1D06B6FA7779}">
  <dimension ref="A2:G16"/>
  <sheetViews>
    <sheetView zoomScaleNormal="100" workbookViewId="0">
      <selection activeCell="J10" sqref="J10"/>
    </sheetView>
  </sheetViews>
  <sheetFormatPr defaultRowHeight="14.4" x14ac:dyDescent="0.3"/>
  <cols>
    <col min="1" max="1" width="11.109375" customWidth="1"/>
    <col min="2" max="2" width="9.77734375" customWidth="1"/>
    <col min="3" max="3" width="14.44140625" customWidth="1"/>
    <col min="4" max="4" width="13.88671875" bestFit="1" customWidth="1"/>
    <col min="5" max="5" width="12.109375" customWidth="1"/>
    <col min="7" max="7" width="10.109375" customWidth="1"/>
  </cols>
  <sheetData>
    <row r="2" spans="1:7" ht="28.8" x14ac:dyDescent="0.3">
      <c r="A2" s="1" t="s">
        <v>0</v>
      </c>
      <c r="B2" s="1" t="s">
        <v>6</v>
      </c>
      <c r="C2" s="3" t="s">
        <v>1</v>
      </c>
      <c r="D2" s="3" t="s">
        <v>2</v>
      </c>
      <c r="E2" s="1" t="s">
        <v>3</v>
      </c>
      <c r="F2" s="1" t="s">
        <v>4</v>
      </c>
      <c r="G2" s="1" t="s">
        <v>5</v>
      </c>
    </row>
    <row r="3" spans="1:7" ht="28.8" x14ac:dyDescent="0.3">
      <c r="A3" s="4" t="s">
        <v>7</v>
      </c>
      <c r="B3" s="4" t="s">
        <v>8</v>
      </c>
      <c r="C3" s="7">
        <v>20579664.010000002</v>
      </c>
      <c r="D3" s="7">
        <v>22000000</v>
      </c>
      <c r="E3" s="4" t="str">
        <f>IF(C3&gt;=D3,"Green",IF(C3&gt;=D3*0.9,"Amber","Red"))</f>
        <v>Amber</v>
      </c>
      <c r="F3" s="4" t="s">
        <v>9</v>
      </c>
      <c r="G3" s="4" t="s">
        <v>10</v>
      </c>
    </row>
    <row r="4" spans="1:7" ht="28.8" x14ac:dyDescent="0.3">
      <c r="A4" s="4" t="s">
        <v>11</v>
      </c>
      <c r="B4" s="4" t="s">
        <v>12</v>
      </c>
      <c r="C4" s="2">
        <v>99441</v>
      </c>
      <c r="D4" s="2">
        <v>105000</v>
      </c>
      <c r="E4" s="4" t="s">
        <v>46</v>
      </c>
      <c r="F4" s="4" t="s">
        <v>13</v>
      </c>
      <c r="G4" s="4" t="s">
        <v>10</v>
      </c>
    </row>
    <row r="5" spans="1:7" ht="28.8" x14ac:dyDescent="0.3">
      <c r="A5" s="4" t="s">
        <v>14</v>
      </c>
      <c r="B5" s="4" t="s">
        <v>15</v>
      </c>
      <c r="C5" s="2">
        <v>99441</v>
      </c>
      <c r="D5" s="2">
        <v>100000</v>
      </c>
      <c r="E5" s="4" t="s">
        <v>46</v>
      </c>
      <c r="F5" s="4" t="s">
        <v>16</v>
      </c>
      <c r="G5" s="4" t="s">
        <v>10</v>
      </c>
    </row>
    <row r="6" spans="1:7" ht="28.8" x14ac:dyDescent="0.3">
      <c r="A6" s="4" t="s">
        <v>17</v>
      </c>
      <c r="B6" s="4" t="s">
        <v>18</v>
      </c>
      <c r="C6" s="2">
        <v>172.74</v>
      </c>
      <c r="D6" s="2">
        <v>180</v>
      </c>
      <c r="E6" s="4" t="s">
        <v>46</v>
      </c>
      <c r="F6" s="4" t="s">
        <v>19</v>
      </c>
      <c r="G6" s="4" t="s">
        <v>10</v>
      </c>
    </row>
    <row r="7" spans="1:7" ht="43.2" x14ac:dyDescent="0.3">
      <c r="A7" s="4" t="s">
        <v>20</v>
      </c>
      <c r="B7" s="4" t="s">
        <v>21</v>
      </c>
      <c r="C7" s="5">
        <v>0.92390000000000005</v>
      </c>
      <c r="D7" s="6">
        <v>0.95</v>
      </c>
      <c r="E7" s="4" t="s">
        <v>46</v>
      </c>
      <c r="F7" s="4" t="s">
        <v>22</v>
      </c>
      <c r="G7" s="4" t="s">
        <v>23</v>
      </c>
    </row>
    <row r="8" spans="1:7" ht="43.2" x14ac:dyDescent="0.3">
      <c r="A8" s="4" t="s">
        <v>24</v>
      </c>
      <c r="B8" s="4" t="s">
        <v>25</v>
      </c>
      <c r="C8" s="5">
        <v>7.6100000000000001E-2</v>
      </c>
      <c r="D8" s="6">
        <v>0.05</v>
      </c>
      <c r="E8" s="4" t="str">
        <f>IF(C8&lt;=D8,"Green",IF(C8&lt;=D8*1.1,"Amber","Red"))</f>
        <v>Red</v>
      </c>
      <c r="F8" s="4" t="s">
        <v>22</v>
      </c>
      <c r="G8" s="4" t="s">
        <v>23</v>
      </c>
    </row>
    <row r="9" spans="1:7" ht="28.8" x14ac:dyDescent="0.3">
      <c r="A9" s="4" t="s">
        <v>26</v>
      </c>
      <c r="B9" s="4" t="s">
        <v>27</v>
      </c>
      <c r="C9" s="2">
        <v>12.02</v>
      </c>
      <c r="D9" s="2">
        <v>10</v>
      </c>
      <c r="E9" s="4" t="str">
        <f>IF(C9&lt;=D9,"Green",IF(C9&lt;=D9*1.1,"Amber","Red"))</f>
        <v>Red</v>
      </c>
      <c r="F9" s="4" t="s">
        <v>22</v>
      </c>
      <c r="G9" s="4" t="s">
        <v>10</v>
      </c>
    </row>
    <row r="10" spans="1:7" ht="43.2" x14ac:dyDescent="0.3">
      <c r="A10" s="4" t="s">
        <v>28</v>
      </c>
      <c r="B10" s="4" t="s">
        <v>29</v>
      </c>
      <c r="C10" s="2">
        <v>4.08</v>
      </c>
      <c r="D10" s="2">
        <v>4.2</v>
      </c>
      <c r="E10" s="4" t="s">
        <v>46</v>
      </c>
      <c r="F10" s="4" t="s">
        <v>30</v>
      </c>
      <c r="G10" s="4" t="s">
        <v>10</v>
      </c>
    </row>
    <row r="11" spans="1:7" ht="43.2" x14ac:dyDescent="0.3">
      <c r="A11" s="4" t="s">
        <v>31</v>
      </c>
      <c r="B11" s="4" t="s">
        <v>32</v>
      </c>
      <c r="C11" s="5">
        <v>0.56179999999999997</v>
      </c>
      <c r="D11" s="6">
        <v>0.6</v>
      </c>
      <c r="E11" s="4" t="s">
        <v>46</v>
      </c>
      <c r="F11" s="4" t="s">
        <v>30</v>
      </c>
      <c r="G11" s="4" t="s">
        <v>10</v>
      </c>
    </row>
    <row r="12" spans="1:7" ht="43.2" x14ac:dyDescent="0.3">
      <c r="A12" s="4" t="s">
        <v>33</v>
      </c>
      <c r="B12" s="4" t="s">
        <v>34</v>
      </c>
      <c r="C12" s="5">
        <v>0.74360000000000004</v>
      </c>
      <c r="D12" s="6">
        <v>0.7</v>
      </c>
      <c r="E12" s="4" t="s">
        <v>47</v>
      </c>
      <c r="F12" s="4" t="s">
        <v>35</v>
      </c>
      <c r="G12" s="4" t="s">
        <v>10</v>
      </c>
    </row>
    <row r="13" spans="1:7" ht="43.2" x14ac:dyDescent="0.3">
      <c r="A13" s="4" t="s">
        <v>36</v>
      </c>
      <c r="B13" s="4" t="s">
        <v>37</v>
      </c>
      <c r="C13" s="5">
        <v>0.97019999999999995</v>
      </c>
      <c r="D13" s="6">
        <v>0.98</v>
      </c>
      <c r="E13" s="4" t="s">
        <v>46</v>
      </c>
      <c r="F13" s="4" t="s">
        <v>13</v>
      </c>
      <c r="G13" s="4" t="s">
        <v>23</v>
      </c>
    </row>
    <row r="14" spans="1:7" ht="43.2" x14ac:dyDescent="0.3">
      <c r="A14" s="4" t="s">
        <v>38</v>
      </c>
      <c r="B14" s="4" t="s">
        <v>39</v>
      </c>
      <c r="C14" s="5">
        <v>6.3E-3</v>
      </c>
      <c r="D14" s="5">
        <v>5.0000000000000001E-3</v>
      </c>
      <c r="E14" s="4" t="str">
        <f>IF(C14&lt;=D14,"Green",IF(C14&lt;=D14*1.1,"Amber","Red"))</f>
        <v>Red</v>
      </c>
      <c r="F14" s="4" t="s">
        <v>13</v>
      </c>
      <c r="G14" s="4" t="s">
        <v>23</v>
      </c>
    </row>
    <row r="15" spans="1:7" ht="43.2" x14ac:dyDescent="0.3">
      <c r="A15" s="4" t="s">
        <v>40</v>
      </c>
      <c r="B15" s="4" t="s">
        <v>41</v>
      </c>
      <c r="C15" s="5">
        <v>0.37540000000000001</v>
      </c>
      <c r="D15" s="6">
        <v>0.35</v>
      </c>
      <c r="E15" s="4" t="s">
        <v>47</v>
      </c>
      <c r="F15" s="4" t="s">
        <v>42</v>
      </c>
      <c r="G15" s="4" t="s">
        <v>10</v>
      </c>
    </row>
    <row r="16" spans="1:7" ht="43.2" x14ac:dyDescent="0.3">
      <c r="A16" s="4" t="s">
        <v>43</v>
      </c>
      <c r="B16" s="4" t="s">
        <v>44</v>
      </c>
      <c r="C16" s="2">
        <v>1743998.8</v>
      </c>
      <c r="D16" s="2">
        <v>1800000</v>
      </c>
      <c r="E16" s="4" t="s">
        <v>46</v>
      </c>
      <c r="F16" s="4" t="s">
        <v>45</v>
      </c>
      <c r="G16" s="4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EA30-3076-45DA-B10C-AE67EC4CC2AB}">
  <dimension ref="A1:C9"/>
  <sheetViews>
    <sheetView workbookViewId="0">
      <selection activeCell="G3" sqref="G3"/>
    </sheetView>
  </sheetViews>
  <sheetFormatPr defaultRowHeight="14.4" x14ac:dyDescent="0.3"/>
  <cols>
    <col min="1" max="1" width="11.33203125" customWidth="1"/>
    <col min="2" max="2" width="12.88671875" bestFit="1" customWidth="1"/>
  </cols>
  <sheetData>
    <row r="1" spans="1:3" ht="28.8" x14ac:dyDescent="0.3">
      <c r="A1" s="1" t="s">
        <v>48</v>
      </c>
      <c r="B1" s="1" t="s">
        <v>49</v>
      </c>
    </row>
    <row r="2" spans="1:3" ht="43.2" x14ac:dyDescent="0.3">
      <c r="A2" s="4" t="s">
        <v>50</v>
      </c>
      <c r="B2" s="10">
        <v>99441</v>
      </c>
    </row>
    <row r="3" spans="1:3" ht="57.6" x14ac:dyDescent="0.3">
      <c r="A3" s="4" t="s">
        <v>51</v>
      </c>
      <c r="B3" s="4">
        <v>172.74</v>
      </c>
      <c r="C3" s="1"/>
    </row>
    <row r="4" spans="1:3" ht="43.2" x14ac:dyDescent="0.3">
      <c r="A4" s="4" t="s">
        <v>52</v>
      </c>
      <c r="B4" s="8">
        <v>0.1</v>
      </c>
      <c r="C4" s="4"/>
    </row>
    <row r="5" spans="1:3" ht="28.8" x14ac:dyDescent="0.3">
      <c r="A5" s="4" t="s">
        <v>53</v>
      </c>
      <c r="B5" s="10">
        <f>B2*B3*B4</f>
        <v>1717743.834</v>
      </c>
      <c r="C5" s="4"/>
    </row>
    <row r="6" spans="1:3" ht="57.6" x14ac:dyDescent="0.3">
      <c r="A6" s="4" t="s">
        <v>54</v>
      </c>
      <c r="B6" s="10">
        <f>B2*5</f>
        <v>497205</v>
      </c>
      <c r="C6" s="8"/>
    </row>
    <row r="7" spans="1:3" ht="28.8" x14ac:dyDescent="0.3">
      <c r="A7" s="4" t="s">
        <v>55</v>
      </c>
      <c r="B7" s="11">
        <f>(B5-B6)/B6*100</f>
        <v>245.48000000000002</v>
      </c>
      <c r="C7" s="4"/>
    </row>
    <row r="8" spans="1:3" x14ac:dyDescent="0.3">
      <c r="B8" s="4"/>
      <c r="C8" s="4"/>
    </row>
    <row r="9" spans="1:3" x14ac:dyDescent="0.3">
      <c r="B9" s="4"/>
      <c r="C9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3767-75E5-4AF2-AABF-D221AB48A680}">
  <dimension ref="A1:B7"/>
  <sheetViews>
    <sheetView workbookViewId="0">
      <selection activeCell="B8" sqref="B8"/>
    </sheetView>
  </sheetViews>
  <sheetFormatPr defaultRowHeight="14.4" x14ac:dyDescent="0.3"/>
  <cols>
    <col min="2" max="2" width="11.5546875" bestFit="1" customWidth="1"/>
  </cols>
  <sheetData>
    <row r="1" spans="1:2" x14ac:dyDescent="0.3">
      <c r="A1" s="1" t="s">
        <v>56</v>
      </c>
      <c r="B1" s="1" t="s">
        <v>57</v>
      </c>
    </row>
    <row r="2" spans="1:2" ht="43.2" x14ac:dyDescent="0.3">
      <c r="A2" s="4" t="s">
        <v>58</v>
      </c>
      <c r="B2" s="12">
        <v>7.6100000000000001E-2</v>
      </c>
    </row>
    <row r="3" spans="1:2" ht="57.6" x14ac:dyDescent="0.3">
      <c r="A3" s="4" t="s">
        <v>59</v>
      </c>
      <c r="B3" s="8">
        <v>0.05</v>
      </c>
    </row>
    <row r="4" spans="1:2" ht="28.8" x14ac:dyDescent="0.3">
      <c r="A4" s="4" t="s">
        <v>60</v>
      </c>
      <c r="B4" s="8">
        <v>0.95</v>
      </c>
    </row>
    <row r="5" spans="1:2" ht="28.8" x14ac:dyDescent="0.3">
      <c r="A5" s="4" t="s">
        <v>61</v>
      </c>
      <c r="B5" s="13">
        <v>4143</v>
      </c>
    </row>
    <row r="6" spans="1:2" ht="57.6" x14ac:dyDescent="0.3">
      <c r="A6" s="4" t="s">
        <v>62</v>
      </c>
      <c r="B6" s="9">
        <f>16*(B2*(1-B2))/(B3^2)</f>
        <v>449.97625599999986</v>
      </c>
    </row>
    <row r="7" spans="1:2" ht="57.6" x14ac:dyDescent="0.3">
      <c r="A7" s="4" t="s">
        <v>63</v>
      </c>
      <c r="B7" s="9">
        <f>ROUNDUP((B6*2)/B5,0)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3"/>
  <sheetViews>
    <sheetView tabSelected="1" workbookViewId="0">
      <selection activeCell="N8" sqref="N8"/>
    </sheetView>
  </sheetViews>
  <sheetFormatPr defaultRowHeight="14.4" x14ac:dyDescent="0.3"/>
  <cols>
    <col min="3" max="3" width="9.77734375" customWidth="1"/>
    <col min="4" max="4" width="14.6640625" style="17" customWidth="1"/>
    <col min="10" max="10" width="13.88671875" customWidth="1"/>
  </cols>
  <sheetData>
    <row r="3" spans="3:10" x14ac:dyDescent="0.3">
      <c r="C3" s="1" t="s">
        <v>64</v>
      </c>
      <c r="D3" s="17" t="s">
        <v>65</v>
      </c>
      <c r="E3" t="s">
        <v>79</v>
      </c>
      <c r="I3" s="1" t="s">
        <v>80</v>
      </c>
      <c r="J3" s="1" t="s">
        <v>81</v>
      </c>
    </row>
    <row r="4" spans="3:10" ht="69" x14ac:dyDescent="0.3">
      <c r="C4" s="14" t="s">
        <v>66</v>
      </c>
      <c r="D4" s="18">
        <v>512645.19</v>
      </c>
      <c r="E4" s="16" t="str">
        <f t="shared" ref="E4:E13" si="0">IF(D4&gt;400000,"Gold",IF(D4&gt;=200000,"Silver","Bronze"))</f>
        <v>Gold</v>
      </c>
      <c r="I4" s="4" t="s">
        <v>76</v>
      </c>
      <c r="J4" s="4">
        <f>AVERAGEIF($E:$E,"Gold",$D:$D)</f>
        <v>512645.19</v>
      </c>
    </row>
    <row r="5" spans="3:10" ht="69" x14ac:dyDescent="0.3">
      <c r="C5" s="14" t="s">
        <v>67</v>
      </c>
      <c r="D5" s="18">
        <v>312456.49</v>
      </c>
      <c r="E5" s="16" t="str">
        <f t="shared" si="0"/>
        <v>Silver</v>
      </c>
      <c r="I5" s="4" t="s">
        <v>77</v>
      </c>
      <c r="J5" s="4">
        <f>AVERAGEIF($E:$E,"Silver",$D:$D)</f>
        <v>272386.22625000001</v>
      </c>
    </row>
    <row r="6" spans="3:10" ht="69" x14ac:dyDescent="0.3">
      <c r="C6" s="14" t="s">
        <v>68</v>
      </c>
      <c r="D6" s="18">
        <v>306138.8</v>
      </c>
      <c r="E6" s="16" t="str">
        <f t="shared" si="0"/>
        <v>Silver</v>
      </c>
      <c r="I6" s="4" t="s">
        <v>78</v>
      </c>
      <c r="J6" s="4">
        <f>AVERAGEIF($E:$E,"Bronze",$D:$D)</f>
        <v>185134.21</v>
      </c>
    </row>
    <row r="7" spans="3:10" ht="69" x14ac:dyDescent="0.3">
      <c r="C7" s="14" t="s">
        <v>69</v>
      </c>
      <c r="D7" s="18">
        <v>291918.98</v>
      </c>
      <c r="E7" s="16" t="str">
        <f t="shared" si="0"/>
        <v>Silver</v>
      </c>
    </row>
    <row r="8" spans="3:10" ht="69" x14ac:dyDescent="0.3">
      <c r="C8" s="14" t="s">
        <v>70</v>
      </c>
      <c r="D8" s="18">
        <v>284903.08</v>
      </c>
      <c r="E8" s="16" t="str">
        <f t="shared" si="0"/>
        <v>Silver</v>
      </c>
    </row>
    <row r="9" spans="3:10" ht="69" x14ac:dyDescent="0.3">
      <c r="C9" s="14" t="s">
        <v>71</v>
      </c>
      <c r="D9" s="18">
        <v>276578.63</v>
      </c>
      <c r="E9" s="16" t="str">
        <f t="shared" si="0"/>
        <v>Silver</v>
      </c>
    </row>
    <row r="10" spans="3:10" ht="69" x14ac:dyDescent="0.3">
      <c r="C10" s="14" t="s">
        <v>72</v>
      </c>
      <c r="D10" s="18">
        <v>264166.12</v>
      </c>
      <c r="E10" s="16" t="str">
        <f t="shared" si="0"/>
        <v>Silver</v>
      </c>
    </row>
    <row r="11" spans="3:10" ht="69" x14ac:dyDescent="0.3">
      <c r="C11" s="14" t="s">
        <v>73</v>
      </c>
      <c r="D11" s="18">
        <v>236414.48</v>
      </c>
      <c r="E11" s="16" t="str">
        <f t="shared" si="0"/>
        <v>Silver</v>
      </c>
    </row>
    <row r="12" spans="3:10" ht="69" x14ac:dyDescent="0.3">
      <c r="C12" s="14" t="s">
        <v>74</v>
      </c>
      <c r="D12" s="18">
        <v>206513.23</v>
      </c>
      <c r="E12" s="16" t="str">
        <f t="shared" si="0"/>
        <v>Silver</v>
      </c>
    </row>
    <row r="13" spans="3:10" ht="69" x14ac:dyDescent="0.3">
      <c r="C13" s="15" t="s">
        <v>75</v>
      </c>
      <c r="D13" s="19">
        <v>185134.21</v>
      </c>
      <c r="E13" s="16" t="str">
        <f t="shared" si="0"/>
        <v>Bronze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KPI_Dashboard</vt:lpstr>
      <vt:lpstr>Business_Case</vt:lpstr>
      <vt:lpstr>AB_Test_Calculation</vt:lpstr>
      <vt:lpstr>Seller_SLA_Summary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More</dc:creator>
  <cp:lastModifiedBy>Namit More</cp:lastModifiedBy>
  <dcterms:created xsi:type="dcterms:W3CDTF">2015-06-05T18:17:20Z</dcterms:created>
  <dcterms:modified xsi:type="dcterms:W3CDTF">2026-06-10T17:41:56Z</dcterms:modified>
</cp:coreProperties>
</file>